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Excel\Movie Analytics\"/>
    </mc:Choice>
  </mc:AlternateContent>
  <xr:revisionPtr revIDLastSave="0" documentId="13_ncr:1_{0812981B-86BB-4E0D-BF2C-D0AD7072FF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studios  P&amp;L" sheetId="11" r:id="rId1"/>
    <sheet name="MovieFinancials" sheetId="9" r:id="rId2"/>
    <sheet name="target" sheetId="13" r:id="rId3"/>
    <sheet name="movies" sheetId="1" r:id="rId4"/>
    <sheet name="financials" sheetId="2" r:id="rId5"/>
    <sheet name="actors" sheetId="3" r:id="rId6"/>
    <sheet name="movie_actor" sheetId="4" r:id="rId7"/>
    <sheet name="languages" sheetId="5" r:id="rId8"/>
  </sheets>
  <definedNames>
    <definedName name="_xlcn.WorksheetConnection_movies_db_uncleaned2.xlsxtarget" hidden="1">target[]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iopnl_d7f9155e-188b-49c6-855b-0c9816a31b2f" name="studiopnl" connection="Query - studiopnl"/>
          <x15:modelTable id="target" name="target" connection="WorksheetConnection_movies_db_uncleaned (2).xlsx!target"/>
        </x15:modelTables>
        <x15:modelRelationships>
          <x15:modelRelationship fromTable="studiopnl" fromColumn="studio" toTable="target" toColumn="studi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0A1EDF-301C-483C-86BE-AE3CBCACB3FC}" keepAlive="1" name="Query - Financials" description="Connection to the 'Financials' query in the workbook." type="5" refreshedVersion="0" background="1">
    <dbPr connection="Provider=Microsoft.Mashup.OleDb.1;Data Source=$Workbook$;Location=Financials;Extended Properties=&quot;&quot;" command="SELECT * FROM [Financials]"/>
  </connection>
  <connection id="2" xr16:uid="{5774EB25-9BAA-4923-B822-2223E6D5DEA1}" keepAlive="1" name="Query - MovieFinancials" description="Connection to the 'MovieFinancials' query in the workbook." type="5" refreshedVersion="8" background="1" saveData="1">
    <dbPr connection="Provider=Microsoft.Mashup.OleDb.1;Data Source=$Workbook$;Location=MovieFinancials;Extended Properties=&quot;&quot;" command="SELECT * FROM [MovieFinancials]"/>
  </connection>
  <connection id="3" xr16:uid="{2EDA2D92-5E10-4BC2-8240-CC86BF6B381D}" keepAlive="1" name="Query - Movies" description="Connection to the 'Movies' query in the workbook." type="5" refreshedVersion="0" background="1">
    <dbPr connection="Provider=Microsoft.Mashup.OleDb.1;Data Source=$Workbook$;Location=Movies;Extended Properties=&quot;&quot;" command="SELECT * FROM [Movies]"/>
  </connection>
  <connection id="4" xr16:uid="{3063D64E-280F-4540-909B-DD244B4E75F8}" name="Query - studiopnl" description="Connection to the 'studiopnl' query in the workbook." type="100" refreshedVersion="8" minRefreshableVersion="5">
    <extLst>
      <ext xmlns:x15="http://schemas.microsoft.com/office/spreadsheetml/2010/11/main" uri="{DE250136-89BD-433C-8126-D09CA5730AF9}">
        <x15:connection id="865646db-64ba-44a1-a1b3-7104ea96e8e9"/>
      </ext>
    </extLst>
  </connection>
  <connection id="5" xr16:uid="{9F8822CF-7505-4A0D-B597-8E1351C29F0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C1105949-532B-409D-9FC1-D11F17793B04}" name="WorksheetConnection_movies_db_uncleaned (2).xlsx!target" type="102" refreshedVersion="8" minRefreshableVersion="5">
    <extLst>
      <ext xmlns:x15="http://schemas.microsoft.com/office/spreadsheetml/2010/11/main" uri="{DE250136-89BD-433C-8126-D09CA5730AF9}">
        <x15:connection id="target">
          <x15:rangePr sourceName="_xlcn.WorksheetConnection_movies_db_uncleaned2.xlsxtarget"/>
        </x15:connection>
      </ext>
    </extLst>
  </connection>
</connections>
</file>

<file path=xl/sharedStrings.xml><?xml version="1.0" encoding="utf-8"?>
<sst xmlns="http://schemas.openxmlformats.org/spreadsheetml/2006/main" count="395" uniqueCount="217">
  <si>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</si>
  <si>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</si>
  <si>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</si>
  <si>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</si>
  <si>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</si>
  <si>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</si>
  <si>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</si>
  <si>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</si>
  <si>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</si>
  <si>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</si>
  <si>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</si>
  <si>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</si>
  <si>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</si>
  <si>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</si>
  <si>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</si>
  <si>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</si>
  <si>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 xml:space="preserve">Universal Pictures  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</si>
  <si>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</si>
  <si>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</si>
  <si>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</si>
  <si>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</si>
  <si>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</si>
  <si>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</si>
  <si>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</si>
  <si>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</si>
  <si>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</si>
  <si>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</si>
  <si>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</si>
  <si>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</si>
  <si>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</si>
  <si>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</si>
  <si>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</si>
  <si>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</si>
  <si>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</si>
  <si>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</si>
  <si>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</si>
  <si>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</si>
  <si>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</si>
  <si>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</si>
  <si>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</si>
  <si>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</si>
  <si>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</si>
  <si>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</si>
  <si>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</si>
  <si>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</si>
  <si>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</si>
  <si>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</si>
  <si>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</si>
  <si>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</si>
  <si>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</si>
  <si>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</si>
  <si>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</si>
  <si>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</si>
  <si>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</si>
  <si>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</si>
  <si>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</si>
  <si>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</si>
  <si>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</si>
  <si>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</si>
  <si>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</si>
  <si>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</si>
  <si>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</si>
  <si>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</si>
  <si>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</si>
  <si>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</si>
  <si>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</si>
  <si>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</si>
  <si>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</si>
  <si>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</si>
  <si>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</si>
  <si>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</si>
  <si>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</si>
  <si>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</si>
  <si>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</si>
  <si>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</si>
  <si>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</si>
  <si>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</si>
  <si>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</si>
  <si>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</si>
  <si>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</si>
  <si>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</si>
  <si>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</si>
  <si>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</si>
  <si>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</si>
  <si>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</si>
  <si>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</si>
  <si>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</si>
  <si>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</si>
  <si>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</si>
  <si>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</si>
  <si>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</si>
  <si>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</si>
  <si>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</si>
  <si>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</si>
  <si>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</si>
  <si>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</si>
  <si>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</si>
  <si>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</si>
  <si>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</si>
  <si>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</si>
  <si>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</si>
  <si>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</si>
  <si>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</si>
  <si>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</si>
  <si>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</si>
  <si>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</si>
  <si>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</si>
  <si>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</si>
  <si>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</si>
  <si>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</si>
  <si>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</si>
  <si>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</si>
  <si>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</si>
  <si>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</si>
  <si>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</si>
  <si>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movie_id_title</t>
  </si>
  <si>
    <t xml:space="preserve">  Hombale Films</t>
  </si>
  <si>
    <t xml:space="preserve">  Vinod Chopra Films</t>
  </si>
  <si>
    <t xml:space="preserve"> Marvel Studios</t>
  </si>
  <si>
    <t xml:space="preserve">    Paramount Pictures</t>
  </si>
  <si>
    <t xml:space="preserve"> Government of West Bengal  </t>
  </si>
  <si>
    <t>101:K.G.F: Chapter 2</t>
  </si>
  <si>
    <t>102:Doctor Strange in the Multiverse of Madness</t>
  </si>
  <si>
    <t xml:space="preserve">103:Thor: The Dark World </t>
  </si>
  <si>
    <t xml:space="preserve">104:Thor: Ragnarok </t>
  </si>
  <si>
    <t xml:space="preserve">105:Thor: Love and Thunder </t>
  </si>
  <si>
    <t>106:Sholay</t>
  </si>
  <si>
    <t>107:Dilwale Dulhania Le Jayenge</t>
  </si>
  <si>
    <t>108: 3 Idiots</t>
  </si>
  <si>
    <t>109:Kabhi Khushi Kabhie Gham</t>
  </si>
  <si>
    <t xml:space="preserve">110:Bajirao Mastani </t>
  </si>
  <si>
    <t>111: The Shawshank Redemption</t>
  </si>
  <si>
    <t>112:Inception</t>
  </si>
  <si>
    <t>113:Interstellar</t>
  </si>
  <si>
    <t>115:The Pursuit of Happyness</t>
  </si>
  <si>
    <t>116:Gladiator</t>
  </si>
  <si>
    <t>117:Titanic</t>
  </si>
  <si>
    <t>118:It's a Wonderful Life</t>
  </si>
  <si>
    <t>119:Avatar</t>
  </si>
  <si>
    <t>120:The Godfather</t>
  </si>
  <si>
    <t>121:The Dark Knight</t>
  </si>
  <si>
    <t>122:Schindler's List</t>
  </si>
  <si>
    <t>123:Jurassic Park</t>
  </si>
  <si>
    <t>124:Parasite</t>
  </si>
  <si>
    <t>125:Avengers: Endgame</t>
  </si>
  <si>
    <t>126:Avengers: Infinity War</t>
  </si>
  <si>
    <t>127:Pather Panchali</t>
  </si>
  <si>
    <t>128:Taare Zameen Par</t>
  </si>
  <si>
    <t>129:Munna Bhai M.B.B.S.</t>
  </si>
  <si>
    <t>130:PK</t>
  </si>
  <si>
    <t>131:Sanju</t>
  </si>
  <si>
    <t>132:Pushpa: The Rise - Part 1</t>
  </si>
  <si>
    <t>133:RRR</t>
  </si>
  <si>
    <t>134:Baahubali: The Beginning</t>
  </si>
  <si>
    <t>135:The Kashmir Files</t>
  </si>
  <si>
    <t>136:Bajrangi Bhaijaan</t>
  </si>
  <si>
    <t>137:Captain America: The First Avenger</t>
  </si>
  <si>
    <t>138:Captain America: The Winter Soldier</t>
  </si>
  <si>
    <t>139:Race 3</t>
  </si>
  <si>
    <t>140:Shershaah</t>
  </si>
  <si>
    <t>Row Labels</t>
  </si>
  <si>
    <t>Grand Total</t>
  </si>
  <si>
    <t>budget ml USD</t>
  </si>
  <si>
    <t>revenue ml USD</t>
  </si>
  <si>
    <t>profit ml USD</t>
  </si>
  <si>
    <t xml:space="preserve">Top Grossing Movies </t>
  </si>
  <si>
    <t>Government of West Bengal</t>
  </si>
  <si>
    <t>Hombale Films</t>
  </si>
  <si>
    <t>revenue ml $</t>
  </si>
  <si>
    <t>budget ml $</t>
  </si>
  <si>
    <t>P/L %</t>
  </si>
  <si>
    <t>P/L ml $</t>
  </si>
  <si>
    <t>target</t>
  </si>
  <si>
    <t>max target</t>
  </si>
  <si>
    <t>target $ mi</t>
  </si>
  <si>
    <t>Actual - Target</t>
  </si>
  <si>
    <t>Actual - Target %</t>
  </si>
  <si>
    <t>All Studios P &amp; L</t>
  </si>
  <si>
    <t xml:space="preserve"> 3 Idiots</t>
  </si>
  <si>
    <t>Baahubali: The Beginning</t>
  </si>
  <si>
    <t xml:space="preserve">Bajirao Mastani </t>
  </si>
  <si>
    <t>Bajrangi Bhaijaan</t>
  </si>
  <si>
    <t>Dilwale Dulhania Le Jayenge</t>
  </si>
  <si>
    <t>K.G.F: Chapter 2</t>
  </si>
  <si>
    <t>Kabhi Khushi Kabhie Gham</t>
  </si>
  <si>
    <t>Munna Bhai M.B.B.S.</t>
  </si>
  <si>
    <t>Pather Panchali</t>
  </si>
  <si>
    <t>PK</t>
  </si>
  <si>
    <t>Pushpa: The Rise - Part 1</t>
  </si>
  <si>
    <t>Race 3</t>
  </si>
  <si>
    <t>RRR</t>
  </si>
  <si>
    <t>Sanju</t>
  </si>
  <si>
    <t>Shershaah</t>
  </si>
  <si>
    <t>Sholay</t>
  </si>
  <si>
    <t>Taare Zameen Par</t>
  </si>
  <si>
    <t>The Kashmir Files</t>
  </si>
  <si>
    <t xml:space="preserve"> The Shawshank Redemption</t>
  </si>
  <si>
    <t>Avatar</t>
  </si>
  <si>
    <t>Avengers: Endgame</t>
  </si>
  <si>
    <t>Avengers: Infinity War</t>
  </si>
  <si>
    <t>Captain America: The First Avenger</t>
  </si>
  <si>
    <t>Captain America: The Winter Soldier</t>
  </si>
  <si>
    <t>Doctor Strange in the Multiverse of Madness</t>
  </si>
  <si>
    <t>Gladiator</t>
  </si>
  <si>
    <t>Inception</t>
  </si>
  <si>
    <t>Interstellar</t>
  </si>
  <si>
    <t>It's a Wonderful Life</t>
  </si>
  <si>
    <t>Jurassic Park</t>
  </si>
  <si>
    <t>Parasite</t>
  </si>
  <si>
    <t>Schindler's List</t>
  </si>
  <si>
    <t>The Dark Knight</t>
  </si>
  <si>
    <t>The Godfather</t>
  </si>
  <si>
    <t>The Pursuit of Happyness</t>
  </si>
  <si>
    <t xml:space="preserve">Thor: Love and Thunder </t>
  </si>
  <si>
    <t xml:space="preserve">Thor: Ragnarok </t>
  </si>
  <si>
    <t xml:space="preserve">Thor: The Dark World </t>
  </si>
  <si>
    <t>Titanic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</si>
</sst>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$-45C]#,##0.00"/>
    <numFmt numFmtId="165" formatCode="\$#,##0.00;\(\$#,##0.00\);\$#,##0.00"/>
    <numFmt numFmtId="166" formatCode="\$#,##0.00;\-\$#,##0.00;\$#,##0.00"/>
    <numFmt numFmtId="167" formatCode="0.0%;\-0.0%;0.0%"/>
    <numFmt numFmtId="168" formatCode="[$$-409]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8" fontId="0" fillId="0" borderId="0" xfId="0" applyNumberFormat="1"/>
    <xf numFmtId="165" fontId="0" fillId="0" borderId="1" xfId="0" applyNumberFormat="1" applyBorder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168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56A2CE31-8AD4-4C8A-8AE9-04F6D4E5F4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17.424288310183" backgroundQuery="1" createdVersion="8" refreshedVersion="8" minRefreshableVersion="3" recordCount="39" xr:uid="{15FBE4B8-D975-473B-892A-69D6B97386FE}">
  <cacheSource type="external" connectionId="2"/>
  <cacheFields count="19">
    <cacheField name="movie_id" numFmtId="0">
      <sharedItems/>
    </cacheField>
    <cacheField name="title" numFmtId="0">
      <sharedItems count="39">
        <s v="K.G.F: Chapter 2"/>
        <s v="Doctor Strange in the Multiverse of Madness"/>
        <s v="Thor: The Dark World "/>
        <s v="Thor: Ragnarok "/>
        <s v="Thor: Love and Thunder "/>
        <s v="Dilwale Dulhania Le Jayenge"/>
        <s v=" 3 Idiots"/>
        <s v="Kabhi Khushi Kabhie Gham"/>
        <s v="Bajirao Mastani "/>
        <s v=" The Shawshank Redemption"/>
        <s v="Interstellar"/>
        <s v="The Pursuit of Happyness"/>
        <s v="Gladiator"/>
        <s v="Titanic"/>
        <s v="It's a Wonderful Life"/>
        <s v="Avatar"/>
        <s v="The Godfather"/>
        <s v="The Dark Knight"/>
        <s v="Schindler's List"/>
        <s v="Jurassic Park"/>
        <s v="Parasite"/>
        <s v="Avengers: Endgame"/>
        <s v="Avengers: Infinity War"/>
        <s v="Pather Panchali"/>
        <s v="Taare Zameen Par"/>
        <s v="Munna Bhai M.B.B.S."/>
        <s v="PK"/>
        <s v="Sanju"/>
        <s v="Pushpa: The Rise - Part 1"/>
        <s v="RRR"/>
        <s v="Baahubali: The Beginning"/>
        <s v="The Kashmir Files"/>
        <s v="Bajrangi Bhaijaan"/>
        <s v="Captain America: The First Avenger"/>
        <s v="Captain America: The Winter Soldier"/>
        <s v="Race 3"/>
        <s v="Shershaah"/>
        <s v="Sholay"/>
        <s v="Inception"/>
      </sharedItems>
    </cacheField>
    <cacheField name="industry" numFmtId="0">
      <sharedItems count="2">
        <s v="Bollywood"/>
        <s v="Hollywood"/>
      </sharedItems>
    </cacheField>
    <cacheField name="release_year" numFmtId="0">
      <sharedItems containsSemiMixedTypes="0" containsString="0" containsNumber="1" containsInteger="1" minValue="1946" maxValue="2022" count="25">
        <n v="2022"/>
        <n v="2013"/>
        <n v="2017"/>
        <n v="1995"/>
        <n v="2009"/>
        <n v="2001"/>
        <n v="2015"/>
        <n v="1994"/>
        <n v="2014"/>
        <n v="2006"/>
        <n v="2000"/>
        <n v="1997"/>
        <n v="1946"/>
        <n v="1972"/>
        <n v="2008"/>
        <n v="1993"/>
        <n v="2019"/>
        <n v="2018"/>
        <n v="1955"/>
        <n v="2007"/>
        <n v="2003"/>
        <n v="2021"/>
        <n v="2011"/>
        <n v="1975"/>
        <n v="2010"/>
      </sharedItems>
    </cacheField>
    <cacheField name="imdb_rating" numFmtId="0">
      <sharedItems containsMixedTypes="1" containsNumber="1" minValue="1.9" maxValue="9.3000000000000007" count="21">
        <n v="8.4"/>
        <n v="7"/>
        <n v="6.8"/>
        <n v="7.9"/>
        <n v="8"/>
        <n v="7.4"/>
        <n v="7.2"/>
        <n v="9.3000000000000007"/>
        <n v="8.6"/>
        <n v="8.5"/>
        <n v="7.8"/>
        <n v="9.1999999999999993"/>
        <n v="9"/>
        <n v="8.1999999999999993"/>
        <n v="8.3000000000000007"/>
        <n v="8.1"/>
        <s v="NULL"/>
        <n v="7.6"/>
        <n v="6.9"/>
        <n v="1.9"/>
        <n v="8.8000000000000007"/>
      </sharedItems>
    </cacheField>
    <cacheField name="studio" numFmtId="0">
      <sharedItems count="22">
        <s v="Hombale Films"/>
        <s v="Marvel Studios"/>
        <s v="Yash Raj Films"/>
        <s v="Vinod Chopra Films"/>
        <s v="Dharma Productions"/>
        <s v="Not Available"/>
        <s v="Castle Rock Entertainment"/>
        <s v="Warner Bros. Pictures"/>
        <s v="Columbia Pictures"/>
        <s v="Universal Pictures"/>
        <s v="Paramount Pictures"/>
        <s v="Liberty Films"/>
        <s v="20th Century Fox"/>
        <s v="Syncopy"/>
        <s v="Government of West Bengal"/>
        <s v="Vinod Chopra Productions"/>
        <s v="Mythri Movie Makers"/>
        <s v="DVV Entertainment"/>
        <s v="Arka Media Works"/>
        <s v="Zee Studios"/>
        <s v="Salman Khan Films"/>
        <s v="United Producers"/>
      </sharedItems>
    </cacheField>
    <cacheField name="language_id" numFmtId="0">
      <sharedItems containsSemiMixedTypes="0" containsString="0" containsNumber="1" containsInteger="1" minValue="1" maxValue="7" count="5">
        <n v="3"/>
        <n v="5"/>
        <n v="1"/>
        <n v="7"/>
        <n v="2"/>
      </sharedItems>
    </cacheField>
    <cacheField name="budget" numFmtId="0">
      <sharedItems containsString="0" containsBlank="1" containsNumber="1" minValue="1" maxValue="900"/>
    </cacheField>
    <cacheField name="revenue" numFmtId="0">
      <sharedItems containsString="0" containsBlank="1" containsNumber="1" minValue="3.1" maxValue="11690"/>
    </cacheField>
    <cacheField name="unit" numFmtId="0">
      <sharedItems containsBlank="1" count="3">
        <s v="Billions"/>
        <s v="Millions"/>
        <m/>
      </sharedItems>
    </cacheField>
    <cacheField name="currency" numFmtId="0">
      <sharedItems containsBlank="1" count="3">
        <s v="INR"/>
        <s v="USD"/>
        <m/>
      </sharedItems>
    </cacheField>
    <cacheField name="unit factor" numFmtId="0">
      <sharedItems containsSemiMixedTypes="0" containsString="0" containsNumber="1" containsInteger="1" minValue="1" maxValue="1000" count="2">
        <n v="1000"/>
        <n v="1"/>
      </sharedItems>
    </cacheField>
    <cacheField name="budget mln" numFmtId="0">
      <sharedItems containsString="0" containsBlank="1" containsNumber="1" minValue="3.18" maxValue="5500"/>
    </cacheField>
    <cacheField name="revenue mln" numFmtId="0">
      <sharedItems containsString="0" containsBlank="1" containsNumber="1" minValue="3.3" maxValue="12500"/>
    </cacheField>
    <cacheField name="budget mln INR" numFmtId="0">
      <sharedItems containsString="0" containsBlank="1" containsNumber="1" minValue="70" maxValue="32000"/>
    </cacheField>
    <cacheField name="revenue mln INR" numFmtId="0">
      <sharedItems containsString="0" containsBlank="1" containsNumber="1" containsInteger="1" minValue="100" maxValue="227760"/>
    </cacheField>
    <cacheField name="budget mln USD" numFmtId="0">
      <sharedItems containsString="0" containsBlank="1" containsNumber="1" minValue="0.875" maxValue="400"/>
    </cacheField>
    <cacheField name="revenue mln USD" numFmtId="0">
      <sharedItems containsString="0" containsBlank="1" containsNumber="1" minValue="1.25" maxValue="2847"/>
    </cacheField>
    <cacheField name="profit mln USD" numFmtId="0">
      <sharedItems containsString="0" containsBlank="1" containsNumber="1" minValue="0.11999999999999966" maxValue="2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821.476793287038" backgroundQuery="1" createdVersion="8" refreshedVersion="8" minRefreshableVersion="3" recordCount="0" supportSubquery="1" supportAdvancedDrill="1" xr:uid="{8D881343-AEA5-4519-9207-A0778C9E3C9B}">
  <cacheSource type="external" connectionId="5"/>
  <cacheFields count="10">
    <cacheField name="[studiopnl].[studio].[studio]" caption="studio" numFmtId="0" hierarchy="5" level="1">
      <sharedItems count="21">
        <s v="Arka Media Works"/>
        <s v="Dharma Productions"/>
        <s v="DVV Entertainment"/>
        <s v="Government of West Bengal"/>
        <s v="Hombale Films"/>
        <s v="Mythri Movie Makers"/>
        <s v="Salman Khan Films"/>
        <s v="Vinod Chopra Films"/>
        <s v="Vinod Chopra Productions"/>
        <s v="Yash Raj Films"/>
        <s v="Zee Studios"/>
        <s v="20th Century Fox"/>
        <s v="Castle Rock Entertainment"/>
        <s v="Columbia Pictures"/>
        <s v="Liberty Films"/>
        <s v="Marvel Studios"/>
        <s v="Paramount Pictures"/>
        <s v="Syncopy"/>
        <s v="Universal Pictures"/>
        <s v="Warner Bros. Pictures"/>
        <s v="Not Available" u="1"/>
      </sharedItems>
    </cacheField>
    <cacheField name="[studiopnl].[industry].[industry]" caption="industry" numFmtId="0" hierarchy="2" level="1">
      <sharedItems count="2">
        <s v="Bollywood"/>
        <s v="Hollywood"/>
      </sharedItems>
    </cacheField>
    <cacheField name="[Measures].[revenue ml $]" caption="revenue ml $" numFmtId="0" hierarchy="22" level="32767"/>
    <cacheField name="[Measures].[budget ml $]" caption="budget ml $" numFmtId="0" hierarchy="23" level="32767"/>
    <cacheField name="[Measures].[P/L]" caption="P/L" numFmtId="0" hierarchy="24" level="32767"/>
    <cacheField name="[Measures].[P/L %]" caption="P/L %" numFmtId="0" hierarchy="25" level="32767"/>
    <cacheField name="[Measures].[max target]" caption="max target" numFmtId="0" hierarchy="26" level="32767"/>
    <cacheField name="[Measures].[target $ mi]" caption="target $ mi" numFmtId="0" hierarchy="27" level="32767"/>
    <cacheField name="[Measures].[Actual - Target]" caption="Actual - Target" numFmtId="0" hierarchy="28" level="32767"/>
    <cacheField name="[Measures].[Actual - Target %]" caption="Actual - Target %" numFmtId="0" hierarchy="29" level="32767"/>
  </cacheFields>
  <cacheHierarchies count="33">
    <cacheHierarchy uniqueName="[studiopnl].[movie_id]" caption="movie_id" attribute="1" defaultMemberUniqueName="[studiopnl].[movie_id].[All]" allUniqueName="[studiopnl].[movie_id].[All]" dimensionUniqueName="[studiopnl]" displayFolder="" count="0" memberValueDatatype="130" unbalanced="0"/>
    <cacheHierarchy uniqueName="[studiopnl].[title]" caption="title" attribute="1" defaultMemberUniqueName="[studiopnl].[title].[All]" allUniqueName="[studiopnl].[title].[All]" dimensionUniqueName="[studiopnl]" displayFolder="" count="0" memberValueDatatype="130" unbalanced="0"/>
    <cacheHierarchy uniqueName="[studiopnl].[industry]" caption="industry" attribute="1" defaultMemberUniqueName="[studiopnl].[industry].[All]" allUniqueName="[studiopnl].[industry].[All]" dimensionUniqueName="[studiopnl]" displayFolder="" count="2" memberValueDatatype="130" unbalanced="0">
      <fieldsUsage count="2">
        <fieldUsage x="-1"/>
        <fieldUsage x="1"/>
      </fieldsUsage>
    </cacheHierarchy>
    <cacheHierarchy uniqueName="[studiopnl].[release_year]" caption="release_year" attribute="1" defaultMemberUniqueName="[studiopnl].[release_year].[All]" allUniqueName="[studiopnl].[release_year].[All]" dimensionUniqueName="[studiopnl]" displayFolder="" count="0" memberValueDatatype="20" unbalanced="0"/>
    <cacheHierarchy uniqueName="[studiopnl].[imdb_rating]" caption="imdb_rating" attribute="1" defaultMemberUniqueName="[studiopnl].[imdb_rating].[All]" allUniqueName="[studiopnl].[imdb_rating].[All]" dimensionUniqueName="[studiopnl]" displayFolder="" count="0" memberValueDatatype="130" unbalanced="0"/>
    <cacheHierarchy uniqueName="[studiopnl].[studio]" caption="studio" attribute="1" defaultMemberUniqueName="[studiopnl].[studio].[All]" allUniqueName="[studiopnl].[studio].[All]" dimensionUniqueName="[studiopnl]" displayFolder="" count="2" memberValueDatatype="130" unbalanced="0">
      <fieldsUsage count="2">
        <fieldUsage x="-1"/>
        <fieldUsage x="0"/>
      </fieldsUsage>
    </cacheHierarchy>
    <cacheHierarchy uniqueName="[studiopnl].[language_id]" caption="language_id" attribute="1" defaultMemberUniqueName="[studiopnl].[language_id].[All]" allUniqueName="[studiopnl].[language_id].[All]" dimensionUniqueName="[studiopnl]" displayFolder="" count="0" memberValueDatatype="20" unbalanced="0"/>
    <cacheHierarchy uniqueName="[studiopnl].[budget]" caption="budget" attribute="1" defaultMemberUniqueName="[studiopnl].[budget].[All]" allUniqueName="[studiopnl].[budget].[All]" dimensionUniqueName="[studiopnl]" displayFolder="" count="0" memberValueDatatype="5" unbalanced="0"/>
    <cacheHierarchy uniqueName="[studiopnl].[revenue]" caption="revenue" attribute="1" defaultMemberUniqueName="[studiopnl].[revenue].[All]" allUniqueName="[studiopnl].[revenue].[All]" dimensionUniqueName="[studiopnl]" displayFolder="" count="0" memberValueDatatype="5" unbalanced="0"/>
    <cacheHierarchy uniqueName="[studiopnl].[unit]" caption="unit" attribute="1" defaultMemberUniqueName="[studiopnl].[unit].[All]" allUniqueName="[studiopnl].[unit].[All]" dimensionUniqueName="[studiopnl]" displayFolder="" count="0" memberValueDatatype="130" unbalanced="0"/>
    <cacheHierarchy uniqueName="[studiopnl].[currency]" caption="currency" attribute="1" defaultMemberUniqueName="[studiopnl].[currency].[All]" allUniqueName="[studiopnl].[currency].[All]" dimensionUniqueName="[studiopnl]" displayFolder="" count="0" memberValueDatatype="130" unbalanced="0"/>
    <cacheHierarchy uniqueName="[studiopnl].[unit factor]" caption="unit factor" attribute="1" defaultMemberUniqueName="[studiopnl].[unit factor].[All]" allUniqueName="[studiopnl].[unit factor].[All]" dimensionUniqueName="[studiopnl]" displayFolder="" count="0" memberValueDatatype="130" unbalanced="0"/>
    <cacheHierarchy uniqueName="[studiopnl].[budget mln]" caption="budget mln" attribute="1" defaultMemberUniqueName="[studiopnl].[budget mln].[All]" allUniqueName="[studiopnl].[budget mln].[All]" dimensionUniqueName="[studiopnl]" displayFolder="" count="0" memberValueDatatype="5" unbalanced="0"/>
    <cacheHierarchy uniqueName="[studiopnl].[revenue mln]" caption="revenue mln" attribute="1" defaultMemberUniqueName="[studiopnl].[revenue mln].[All]" allUniqueName="[studiopnl].[revenue mln].[All]" dimensionUniqueName="[studiopnl]" displayFolder="" count="0" memberValueDatatype="5" unbalanced="0"/>
    <cacheHierarchy uniqueName="[studiopnl].[budget mln INR]" caption="budget mln INR" attribute="1" defaultMemberUniqueName="[studiopnl].[budget mln INR].[All]" allUniqueName="[studiopnl].[budget mln INR].[All]" dimensionUniqueName="[studiopnl]" displayFolder="" count="0" memberValueDatatype="5" unbalanced="0"/>
    <cacheHierarchy uniqueName="[studiopnl].[revenue mln INR]" caption="revenue mln INR" attribute="1" defaultMemberUniqueName="[studiopnl].[revenue mln INR].[All]" allUniqueName="[studiopnl].[revenue mln INR].[All]" dimensionUniqueName="[studiopnl]" displayFolder="" count="0" memberValueDatatype="5" unbalanced="0"/>
    <cacheHierarchy uniqueName="[studiopnl].[budget mln USD]" caption="budget mln USD" attribute="1" defaultMemberUniqueName="[studiopnl].[budget mln USD].[All]" allUniqueName="[studiopnl].[budget mln USD].[All]" dimensionUniqueName="[studiopnl]" displayFolder="" count="0" memberValueDatatype="5" unbalanced="0"/>
    <cacheHierarchy uniqueName="[studiopnl].[revenue mln USD]" caption="revenue mln USD" attribute="1" defaultMemberUniqueName="[studiopnl].[revenue mln USD].[All]" allUniqueName="[studiopnl].[revenue mln USD].[All]" dimensionUniqueName="[studiopnl]" displayFolder="" count="0" memberValueDatatype="5" unbalanced="0"/>
    <cacheHierarchy uniqueName="[studiopnl].[profit mln USD]" caption="profit mln USD" attribute="1" defaultMemberUniqueName="[studiopnl].[profit mln USD].[All]" allUniqueName="[studiopnl].[profit mln USD].[All]" dimensionUniqueName="[studiopnl]" displayFolder="" count="0" memberValueDatatype="5" unbalanced="0"/>
    <cacheHierarchy uniqueName="[studiopnl].[profit target]" caption="profit target" attribute="1" defaultMemberUniqueName="[studiopnl].[profit target].[All]" allUniqueName="[studiopnl].[profit target].[All]" dimensionUniqueName="[studiopnl]" displayFolder="" count="0" memberValueDatatype="5" unbalanced="0"/>
    <cacheHierarchy uniqueName="[target].[studio]" caption="studio" attribute="1" defaultMemberUniqueName="[target].[studio].[All]" allUniqueName="[target].[studio].[All]" dimensionUniqueName="[target]" displayFolder="" count="0" memberValueDatatype="130" unbalanced="0"/>
    <cacheHierarchy uniqueName="[target].[target]" caption="target" attribute="1" defaultMemberUniqueName="[target].[target].[All]" allUniqueName="[target].[target].[All]" dimensionUniqueName="[target]" displayFolder="" count="0" memberValueDatatype="5" unbalanced="0"/>
    <cacheHierarchy uniqueName="[Measures].[revenue ml $]" caption="revenue ml $" measure="1" displayFolder="" measureGroup="studiopnl" count="0" oneField="1">
      <fieldsUsage count="1">
        <fieldUsage x="2"/>
      </fieldsUsage>
    </cacheHierarchy>
    <cacheHierarchy uniqueName="[Measures].[budget ml $]" caption="budget ml $" measure="1" displayFolder="" measureGroup="studiopnl" count="0" oneField="1">
      <fieldsUsage count="1">
        <fieldUsage x="3"/>
      </fieldsUsage>
    </cacheHierarchy>
    <cacheHierarchy uniqueName="[Measures].[P/L]" caption="P/L" measure="1" displayFolder="" measureGroup="studiopnl" count="0" oneField="1">
      <fieldsUsage count="1">
        <fieldUsage x="4"/>
      </fieldsUsage>
    </cacheHierarchy>
    <cacheHierarchy uniqueName="[Measures].[P/L %]" caption="P/L %" measure="1" displayFolder="" measureGroup="studiopnl" count="0" oneField="1">
      <fieldsUsage count="1">
        <fieldUsage x="5"/>
      </fieldsUsage>
    </cacheHierarchy>
    <cacheHierarchy uniqueName="[Measures].[max target]" caption="max target" measure="1" displayFolder="" measureGroup="studiopnl" count="0" oneField="1">
      <fieldsUsage count="1">
        <fieldUsage x="6"/>
      </fieldsUsage>
    </cacheHierarchy>
    <cacheHierarchy uniqueName="[Measures].[target $ mi]" caption="target $ mi" measure="1" displayFolder="" measureGroup="studiopnl" count="0" oneField="1">
      <fieldsUsage count="1">
        <fieldUsage x="7"/>
      </fieldsUsage>
    </cacheHierarchy>
    <cacheHierarchy uniqueName="[Measures].[Actual - Target]" caption="Actual - Target" measure="1" displayFolder="" measureGroup="studiopnl" count="0" oneField="1">
      <fieldsUsage count="1">
        <fieldUsage x="8"/>
      </fieldsUsage>
    </cacheHierarchy>
    <cacheHierarchy uniqueName="[Measures].[Actual - Target %]" caption="Actual - Target %" measure="1" displayFolder="" measureGroup="studiopnl" count="0" oneField="1">
      <fieldsUsage count="1">
        <fieldUsage x="9"/>
      </fieldsUsage>
    </cacheHierarchy>
    <cacheHierarchy uniqueName="[Measures].[__XL_Count studiopnl]" caption="__XL_Count studiopnl" measure="1" displayFolder="" measureGroup="studiopnl" count="0" hidden="1"/>
    <cacheHierarchy uniqueName="[Measures].[__XL_Count target]" caption="__XL_Count target" measure="1" displayFolder="" measureGroup="target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studiopnl" uniqueName="[studiopnl]" caption="studiopnl"/>
    <dimension name="target" uniqueName="[target]" caption="target"/>
  </dimensions>
  <measureGroups count="2">
    <measureGroup name="studiopnl" caption="studiopnl"/>
    <measureGroup name="target" caption="target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101"/>
    <x v="0"/>
    <x v="0"/>
    <x v="0"/>
    <x v="0"/>
    <x v="0"/>
    <x v="0"/>
    <n v="1"/>
    <n v="12.5"/>
    <x v="0"/>
    <x v="0"/>
    <x v="0"/>
    <n v="1000"/>
    <n v="12500"/>
    <n v="1000"/>
    <n v="12500"/>
    <n v="12.5"/>
    <n v="156.25"/>
    <n v="143.75"/>
  </r>
  <r>
    <s v="102"/>
    <x v="1"/>
    <x v="1"/>
    <x v="0"/>
    <x v="1"/>
    <x v="1"/>
    <x v="1"/>
    <n v="200"/>
    <n v="954.8"/>
    <x v="1"/>
    <x v="1"/>
    <x v="1"/>
    <n v="200"/>
    <n v="954.8"/>
    <n v="16000"/>
    <n v="76384"/>
    <n v="200"/>
    <n v="954.8"/>
    <n v="754.8"/>
  </r>
  <r>
    <s v="103"/>
    <x v="2"/>
    <x v="1"/>
    <x v="1"/>
    <x v="2"/>
    <x v="1"/>
    <x v="1"/>
    <n v="165"/>
    <n v="644.79999999999995"/>
    <x v="1"/>
    <x v="1"/>
    <x v="1"/>
    <n v="165"/>
    <n v="644.79999999999995"/>
    <n v="13200"/>
    <n v="51584"/>
    <n v="165"/>
    <n v="644.79999999999995"/>
    <n v="479.79999999999995"/>
  </r>
  <r>
    <s v="104"/>
    <x v="3"/>
    <x v="1"/>
    <x v="2"/>
    <x v="3"/>
    <x v="1"/>
    <x v="1"/>
    <n v="180"/>
    <n v="854"/>
    <x v="1"/>
    <x v="1"/>
    <x v="1"/>
    <n v="180"/>
    <n v="854"/>
    <n v="14400"/>
    <n v="68320"/>
    <n v="180"/>
    <n v="854"/>
    <n v="674"/>
  </r>
  <r>
    <s v="105"/>
    <x v="4"/>
    <x v="1"/>
    <x v="0"/>
    <x v="2"/>
    <x v="1"/>
    <x v="1"/>
    <n v="250"/>
    <n v="670"/>
    <x v="1"/>
    <x v="1"/>
    <x v="1"/>
    <n v="250"/>
    <n v="670"/>
    <n v="20000"/>
    <n v="53600"/>
    <n v="250"/>
    <n v="670"/>
    <n v="420"/>
  </r>
  <r>
    <s v="107"/>
    <x v="5"/>
    <x v="0"/>
    <x v="3"/>
    <x v="4"/>
    <x v="2"/>
    <x v="2"/>
    <n v="400"/>
    <n v="2000"/>
    <x v="1"/>
    <x v="0"/>
    <x v="1"/>
    <n v="400"/>
    <n v="2000"/>
    <n v="400"/>
    <n v="2000"/>
    <n v="5"/>
    <n v="25"/>
    <n v="20"/>
  </r>
  <r>
    <s v="108"/>
    <x v="6"/>
    <x v="0"/>
    <x v="4"/>
    <x v="0"/>
    <x v="3"/>
    <x v="2"/>
    <n v="550"/>
    <n v="4000"/>
    <x v="1"/>
    <x v="0"/>
    <x v="1"/>
    <n v="550"/>
    <n v="4000"/>
    <n v="550"/>
    <n v="4000"/>
    <n v="6.875"/>
    <n v="50"/>
    <n v="43.125"/>
  </r>
  <r>
    <s v="109"/>
    <x v="7"/>
    <x v="0"/>
    <x v="5"/>
    <x v="5"/>
    <x v="4"/>
    <x v="2"/>
    <n v="390"/>
    <n v="1360"/>
    <x v="1"/>
    <x v="0"/>
    <x v="1"/>
    <n v="390"/>
    <n v="1360"/>
    <n v="390"/>
    <n v="1360"/>
    <n v="4.875"/>
    <n v="17"/>
    <n v="12.125"/>
  </r>
  <r>
    <s v="110"/>
    <x v="8"/>
    <x v="0"/>
    <x v="6"/>
    <x v="6"/>
    <x v="5"/>
    <x v="2"/>
    <n v="1.4"/>
    <n v="3.5"/>
    <x v="0"/>
    <x v="0"/>
    <x v="0"/>
    <n v="1400"/>
    <n v="3500"/>
    <n v="1400"/>
    <n v="3500"/>
    <n v="17.5"/>
    <n v="43.75"/>
    <n v="26.25"/>
  </r>
  <r>
    <s v="111"/>
    <x v="9"/>
    <x v="1"/>
    <x v="7"/>
    <x v="7"/>
    <x v="6"/>
    <x v="1"/>
    <n v="25"/>
    <n v="73.3"/>
    <x v="1"/>
    <x v="1"/>
    <x v="1"/>
    <n v="25"/>
    <n v="73.3"/>
    <n v="2000"/>
    <n v="5864"/>
    <n v="25"/>
    <n v="73.3"/>
    <n v="48.3"/>
  </r>
  <r>
    <s v="113"/>
    <x v="10"/>
    <x v="1"/>
    <x v="8"/>
    <x v="8"/>
    <x v="7"/>
    <x v="1"/>
    <n v="165"/>
    <n v="701.8"/>
    <x v="1"/>
    <x v="1"/>
    <x v="1"/>
    <n v="165"/>
    <n v="701.8"/>
    <n v="13200"/>
    <n v="56144"/>
    <n v="165"/>
    <n v="701.8"/>
    <n v="536.79999999999995"/>
  </r>
  <r>
    <s v="115"/>
    <x v="11"/>
    <x v="1"/>
    <x v="9"/>
    <x v="4"/>
    <x v="8"/>
    <x v="1"/>
    <n v="55"/>
    <n v="307.10000000000002"/>
    <x v="1"/>
    <x v="1"/>
    <x v="1"/>
    <n v="55"/>
    <n v="307.10000000000002"/>
    <n v="4400"/>
    <n v="24568"/>
    <n v="55"/>
    <n v="307.10000000000002"/>
    <n v="252.10000000000002"/>
  </r>
  <r>
    <s v="116"/>
    <x v="12"/>
    <x v="1"/>
    <x v="10"/>
    <x v="9"/>
    <x v="9"/>
    <x v="1"/>
    <n v="103"/>
    <n v="460.5"/>
    <x v="1"/>
    <x v="1"/>
    <x v="1"/>
    <n v="103"/>
    <n v="460.5"/>
    <n v="8240"/>
    <n v="36840"/>
    <n v="103"/>
    <n v="460.5"/>
    <n v="357.5"/>
  </r>
  <r>
    <s v="117"/>
    <x v="13"/>
    <x v="1"/>
    <x v="11"/>
    <x v="3"/>
    <x v="10"/>
    <x v="1"/>
    <n v="200"/>
    <n v="2202"/>
    <x v="1"/>
    <x v="1"/>
    <x v="1"/>
    <n v="200"/>
    <n v="2202"/>
    <n v="16000"/>
    <n v="176160"/>
    <n v="200"/>
    <n v="2202"/>
    <n v="2002"/>
  </r>
  <r>
    <s v="118"/>
    <x v="14"/>
    <x v="1"/>
    <x v="12"/>
    <x v="8"/>
    <x v="11"/>
    <x v="1"/>
    <n v="3.18"/>
    <n v="3.3"/>
    <x v="1"/>
    <x v="1"/>
    <x v="1"/>
    <n v="3.18"/>
    <n v="3.3"/>
    <n v="254.4"/>
    <n v="264"/>
    <n v="3.18"/>
    <n v="3.3"/>
    <n v="0.11999999999999966"/>
  </r>
  <r>
    <s v="119"/>
    <x v="15"/>
    <x v="1"/>
    <x v="4"/>
    <x v="10"/>
    <x v="12"/>
    <x v="1"/>
    <n v="237"/>
    <n v="2847"/>
    <x v="1"/>
    <x v="1"/>
    <x v="1"/>
    <n v="237"/>
    <n v="2847"/>
    <n v="18960"/>
    <n v="227760"/>
    <n v="237"/>
    <n v="2847"/>
    <n v="2610"/>
  </r>
  <r>
    <s v="120"/>
    <x v="16"/>
    <x v="1"/>
    <x v="13"/>
    <x v="11"/>
    <x v="10"/>
    <x v="1"/>
    <n v="7.2"/>
    <n v="291"/>
    <x v="1"/>
    <x v="1"/>
    <x v="1"/>
    <n v="7.2"/>
    <n v="291"/>
    <n v="576"/>
    <n v="23280"/>
    <n v="7.2"/>
    <n v="291"/>
    <n v="283.8"/>
  </r>
  <r>
    <s v="121"/>
    <x v="17"/>
    <x v="1"/>
    <x v="14"/>
    <x v="12"/>
    <x v="13"/>
    <x v="1"/>
    <n v="185"/>
    <n v="1006"/>
    <x v="1"/>
    <x v="1"/>
    <x v="1"/>
    <n v="185"/>
    <n v="1006"/>
    <n v="14800"/>
    <n v="80480"/>
    <n v="185"/>
    <n v="1006"/>
    <n v="821"/>
  </r>
  <r>
    <s v="122"/>
    <x v="18"/>
    <x v="1"/>
    <x v="15"/>
    <x v="12"/>
    <x v="9"/>
    <x v="1"/>
    <n v="22"/>
    <n v="322.2"/>
    <x v="1"/>
    <x v="1"/>
    <x v="1"/>
    <n v="22"/>
    <n v="322.2"/>
    <n v="1760"/>
    <n v="25776"/>
    <n v="22"/>
    <n v="322.2"/>
    <n v="300.2"/>
  </r>
  <r>
    <s v="123"/>
    <x v="19"/>
    <x v="1"/>
    <x v="15"/>
    <x v="13"/>
    <x v="9"/>
    <x v="1"/>
    <n v="63"/>
    <n v="1046"/>
    <x v="1"/>
    <x v="1"/>
    <x v="1"/>
    <n v="63"/>
    <n v="1046"/>
    <n v="5040"/>
    <n v="83680"/>
    <n v="63"/>
    <n v="1046"/>
    <n v="983"/>
  </r>
  <r>
    <s v="124"/>
    <x v="20"/>
    <x v="1"/>
    <x v="16"/>
    <x v="9"/>
    <x v="5"/>
    <x v="1"/>
    <n v="15.5"/>
    <n v="263.10000000000002"/>
    <x v="1"/>
    <x v="1"/>
    <x v="1"/>
    <n v="15.5"/>
    <n v="263.10000000000002"/>
    <n v="1240"/>
    <n v="21048"/>
    <n v="15.5"/>
    <n v="263.10000000000002"/>
    <n v="247.60000000000002"/>
  </r>
  <r>
    <s v="125"/>
    <x v="21"/>
    <x v="1"/>
    <x v="16"/>
    <x v="0"/>
    <x v="1"/>
    <x v="1"/>
    <n v="400"/>
    <n v="2798"/>
    <x v="1"/>
    <x v="1"/>
    <x v="1"/>
    <n v="400"/>
    <n v="2798"/>
    <n v="32000"/>
    <n v="223840"/>
    <n v="400"/>
    <n v="2798"/>
    <n v="2398"/>
  </r>
  <r>
    <s v="126"/>
    <x v="22"/>
    <x v="1"/>
    <x v="17"/>
    <x v="0"/>
    <x v="1"/>
    <x v="1"/>
    <n v="400"/>
    <n v="2048"/>
    <x v="1"/>
    <x v="1"/>
    <x v="1"/>
    <n v="400"/>
    <n v="2048"/>
    <n v="32000"/>
    <n v="163840"/>
    <n v="400"/>
    <n v="2048"/>
    <n v="1648"/>
  </r>
  <r>
    <s v="127"/>
    <x v="23"/>
    <x v="0"/>
    <x v="18"/>
    <x v="14"/>
    <x v="14"/>
    <x v="3"/>
    <n v="70"/>
    <n v="100"/>
    <x v="1"/>
    <x v="0"/>
    <x v="1"/>
    <n v="70"/>
    <n v="100"/>
    <n v="70"/>
    <n v="100"/>
    <n v="0.875"/>
    <n v="1.25"/>
    <n v="0.375"/>
  </r>
  <r>
    <s v="128"/>
    <x v="24"/>
    <x v="0"/>
    <x v="19"/>
    <x v="14"/>
    <x v="5"/>
    <x v="2"/>
    <n v="120"/>
    <n v="1350"/>
    <x v="1"/>
    <x v="0"/>
    <x v="1"/>
    <n v="120"/>
    <n v="1350"/>
    <n v="120"/>
    <n v="1350"/>
    <n v="1.5"/>
    <n v="16.875"/>
    <n v="15.375"/>
  </r>
  <r>
    <s v="129"/>
    <x v="25"/>
    <x v="0"/>
    <x v="20"/>
    <x v="15"/>
    <x v="15"/>
    <x v="2"/>
    <n v="100"/>
    <n v="410"/>
    <x v="1"/>
    <x v="0"/>
    <x v="1"/>
    <n v="100"/>
    <n v="410"/>
    <n v="100"/>
    <n v="410"/>
    <n v="1.25"/>
    <n v="5.125"/>
    <n v="3.875"/>
  </r>
  <r>
    <s v="130"/>
    <x v="26"/>
    <x v="0"/>
    <x v="8"/>
    <x v="15"/>
    <x v="3"/>
    <x v="2"/>
    <n v="850"/>
    <n v="8540"/>
    <x v="1"/>
    <x v="0"/>
    <x v="1"/>
    <n v="850"/>
    <n v="8540"/>
    <n v="850"/>
    <n v="8540"/>
    <n v="10.625"/>
    <n v="106.75"/>
    <n v="96.125"/>
  </r>
  <r>
    <s v="131"/>
    <x v="27"/>
    <x v="0"/>
    <x v="17"/>
    <x v="16"/>
    <x v="3"/>
    <x v="2"/>
    <n v="1"/>
    <n v="5.9"/>
    <x v="0"/>
    <x v="0"/>
    <x v="0"/>
    <n v="1000"/>
    <n v="5900"/>
    <n v="1000"/>
    <n v="5900"/>
    <n v="12.5"/>
    <n v="73.75"/>
    <n v="61.25"/>
  </r>
  <r>
    <s v="132"/>
    <x v="28"/>
    <x v="0"/>
    <x v="21"/>
    <x v="17"/>
    <x v="16"/>
    <x v="4"/>
    <n v="2"/>
    <n v="3.6"/>
    <x v="0"/>
    <x v="0"/>
    <x v="0"/>
    <n v="2000"/>
    <n v="3600"/>
    <n v="2000"/>
    <n v="3600"/>
    <n v="25"/>
    <n v="45"/>
    <n v="20"/>
  </r>
  <r>
    <s v="133"/>
    <x v="29"/>
    <x v="0"/>
    <x v="0"/>
    <x v="4"/>
    <x v="17"/>
    <x v="4"/>
    <n v="5.5"/>
    <n v="12"/>
    <x v="0"/>
    <x v="0"/>
    <x v="0"/>
    <n v="5500"/>
    <n v="12000"/>
    <n v="5500"/>
    <n v="12000"/>
    <n v="68.75"/>
    <n v="150"/>
    <n v="81.25"/>
  </r>
  <r>
    <s v="134"/>
    <x v="30"/>
    <x v="0"/>
    <x v="6"/>
    <x v="4"/>
    <x v="18"/>
    <x v="4"/>
    <n v="1.8"/>
    <n v="6.5"/>
    <x v="0"/>
    <x v="0"/>
    <x v="0"/>
    <n v="1800"/>
    <n v="6500"/>
    <n v="1800"/>
    <n v="6500"/>
    <n v="22.5"/>
    <n v="81.25"/>
    <n v="58.75"/>
  </r>
  <r>
    <s v="135"/>
    <x v="31"/>
    <x v="0"/>
    <x v="0"/>
    <x v="14"/>
    <x v="19"/>
    <x v="2"/>
    <n v="250"/>
    <n v="3409"/>
    <x v="1"/>
    <x v="0"/>
    <x v="1"/>
    <n v="250"/>
    <n v="3409"/>
    <n v="250"/>
    <n v="3409"/>
    <n v="3.125"/>
    <n v="42.612499999999997"/>
    <n v="39.487499999999997"/>
  </r>
  <r>
    <s v="136"/>
    <x v="32"/>
    <x v="0"/>
    <x v="6"/>
    <x v="15"/>
    <x v="20"/>
    <x v="2"/>
    <n v="900"/>
    <n v="11690"/>
    <x v="1"/>
    <x v="0"/>
    <x v="1"/>
    <n v="900"/>
    <n v="11690"/>
    <n v="900"/>
    <n v="11690"/>
    <n v="11.25"/>
    <n v="146.125"/>
    <n v="134.875"/>
  </r>
  <r>
    <s v="137"/>
    <x v="33"/>
    <x v="1"/>
    <x v="22"/>
    <x v="18"/>
    <x v="1"/>
    <x v="1"/>
    <n v="216.7"/>
    <n v="370.6"/>
    <x v="1"/>
    <x v="1"/>
    <x v="1"/>
    <n v="216.7"/>
    <n v="370.6"/>
    <n v="17336"/>
    <n v="29648"/>
    <n v="216.7"/>
    <n v="370.6"/>
    <n v="153.90000000000003"/>
  </r>
  <r>
    <s v="138"/>
    <x v="34"/>
    <x v="1"/>
    <x v="8"/>
    <x v="10"/>
    <x v="1"/>
    <x v="1"/>
    <n v="177"/>
    <n v="714.4"/>
    <x v="1"/>
    <x v="1"/>
    <x v="1"/>
    <n v="177"/>
    <n v="714.4"/>
    <n v="14160"/>
    <n v="57152"/>
    <n v="177"/>
    <n v="714.4"/>
    <n v="537.4"/>
  </r>
  <r>
    <s v="139"/>
    <x v="35"/>
    <x v="0"/>
    <x v="17"/>
    <x v="19"/>
    <x v="20"/>
    <x v="2"/>
    <n v="1.8"/>
    <n v="3.1"/>
    <x v="0"/>
    <x v="0"/>
    <x v="0"/>
    <n v="1800"/>
    <n v="3100"/>
    <n v="1800"/>
    <n v="3100"/>
    <n v="22.5"/>
    <n v="38.75"/>
    <n v="16.25"/>
  </r>
  <r>
    <s v="140"/>
    <x v="36"/>
    <x v="0"/>
    <x v="21"/>
    <x v="0"/>
    <x v="4"/>
    <x v="2"/>
    <n v="500"/>
    <n v="950"/>
    <x v="1"/>
    <x v="0"/>
    <x v="1"/>
    <n v="500"/>
    <n v="950"/>
    <n v="500"/>
    <n v="950"/>
    <n v="6.25"/>
    <n v="11.875"/>
    <n v="5.625"/>
  </r>
  <r>
    <s v="106"/>
    <x v="37"/>
    <x v="0"/>
    <x v="23"/>
    <x v="15"/>
    <x v="21"/>
    <x v="2"/>
    <m/>
    <m/>
    <x v="2"/>
    <x v="2"/>
    <x v="1"/>
    <m/>
    <m/>
    <m/>
    <m/>
    <m/>
    <m/>
    <m/>
  </r>
  <r>
    <s v="112"/>
    <x v="38"/>
    <x v="1"/>
    <x v="24"/>
    <x v="20"/>
    <x v="7"/>
    <x v="1"/>
    <m/>
    <m/>
    <x v="2"/>
    <x v="2"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11E8-0131-4D5A-82E6-93777266B96F}" name="PivotTable2" cacheId="1" applyNumberFormats="0" applyBorderFormats="0" applyFontFormats="0" applyPatternFormats="0" applyAlignmentFormats="0" applyWidthHeightFormats="1" dataCaption="Values" tag="2eafcc1e-2a15-471e-aab1-bfe69694a5f9" updatedVersion="8" minRefreshableVersion="3" useAutoFormatting="1" itemPrintTitles="1" createdVersion="8" indent="0" outline="1" outlineData="1" multipleFieldFilters="0">
  <location ref="A3:I26" firstHeaderRow="0" firstDataRow="1" firstDataCol="1"/>
  <pivotFields count="10">
    <pivotField axis="axisRow" allDrilled="1" showAll="0" dataSourceSort="1" defaultAttributeDrillState="1">
      <items count="2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x="20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howAll="0"/>
    <pivotField dataField="1" showAll="0"/>
    <pivotField dataField="1" showAll="0"/>
  </pivotFields>
  <rowFields count="2">
    <field x="1"/>
    <field x="0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fld="2" subtotal="count" baseField="0" baseItem="0"/>
    <dataField fld="3" subtotal="count" baseField="0" baseItem="0"/>
    <dataField name="P/L ml $" fld="4" subtotal="count" baseField="1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9" subtotal="count" baseField="0" baseItem="0"/>
  </dataFields>
  <formats count="8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2">
          <reference field="0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20"/>
          </reference>
          <reference field="1" count="1" selected="0">
            <x v="0"/>
          </reference>
        </references>
      </pivotArea>
    </format>
    <format dxfId="8">
      <pivotArea dataOnly="0" labelOnly="1" fieldPosition="0">
        <references count="2">
          <reference field="0" count="10">
            <x v="11"/>
            <x v="12"/>
            <x v="13"/>
            <x v="14"/>
            <x v="15"/>
            <x v="16"/>
            <x v="17"/>
            <x v="18"/>
            <x v="19"/>
            <x v="20"/>
          </reference>
          <reference field="1" count="1" selected="0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Hierarchies count="33">
    <pivotHierarchy dragToData="1"/>
    <pivotHierarchy dragToData="1"/>
    <pivotHierarchy dragToData="1"/>
    <pivotHierarchy dragToData="1"/>
    <pivotHierarchy dragToData="1"/>
    <pivotHierarchy dragToData="1">
      <members count="21" level="1">
        <member name=""/>
        <member name=""/>
        <member name=""/>
        <member name=""/>
        <member name=""/>
        <member name=""/>
        <member name=""/>
        <member name=""/>
        <member name="[studiopnl].[studio].&amp;[United Producers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P/L ml $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9" showRowHeaders="1" showColHeaders="1" showRowStripes="0" showColStripes="0" showLastColumn="1"/>
  <rowHierarchiesUsage count="2">
    <rowHierarchyUsage hierarchyUsage="2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udiopnl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B75DC-DEF6-45B2-AD0F-B0A1027A64A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45" firstHeaderRow="0" firstDataRow="1" firstDataCol="1"/>
  <pivotFields count="19">
    <pivotField showAll="0"/>
    <pivotField axis="axisRow" showAll="0">
      <items count="40">
        <item x="6"/>
        <item x="9"/>
        <item x="15"/>
        <item x="21"/>
        <item x="22"/>
        <item x="30"/>
        <item x="8"/>
        <item x="32"/>
        <item x="33"/>
        <item x="34"/>
        <item x="5"/>
        <item x="1"/>
        <item x="12"/>
        <item x="38"/>
        <item x="10"/>
        <item x="14"/>
        <item x="19"/>
        <item x="0"/>
        <item x="7"/>
        <item x="25"/>
        <item x="20"/>
        <item x="23"/>
        <item x="26"/>
        <item x="28"/>
        <item x="35"/>
        <item x="29"/>
        <item x="27"/>
        <item x="18"/>
        <item x="36"/>
        <item x="37"/>
        <item x="24"/>
        <item x="17"/>
        <item x="16"/>
        <item x="31"/>
        <item x="11"/>
        <item x="4"/>
        <item x="3"/>
        <item x="2"/>
        <item x="1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2">
    <field x="2"/>
    <field x="1"/>
  </rowFields>
  <rowItems count="42">
    <i>
      <x/>
    </i>
    <i r="1">
      <x/>
    </i>
    <i r="1">
      <x v="5"/>
    </i>
    <i r="1">
      <x v="6"/>
    </i>
    <i r="1">
      <x v="7"/>
    </i>
    <i r="1">
      <x v="10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3"/>
    </i>
    <i>
      <x v="1"/>
    </i>
    <i r="1">
      <x v="1"/>
    </i>
    <i r="1">
      <x v="2"/>
    </i>
    <i r="1">
      <x v="3"/>
    </i>
    <i r="1">
      <x v="4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0"/>
    </i>
    <i r="1">
      <x v="27"/>
    </i>
    <i r="1">
      <x v="31"/>
    </i>
    <i r="1">
      <x v="32"/>
    </i>
    <i r="1">
      <x v="34"/>
    </i>
    <i r="1">
      <x v="35"/>
    </i>
    <i r="1">
      <x v="36"/>
    </i>
    <i r="1">
      <x v="37"/>
    </i>
    <i r="1">
      <x v="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budget ml USD" fld="16" baseField="2" baseItem="0" numFmtId="164"/>
    <dataField name="revenue ml USD" fld="17" baseField="2" baseItem="0" numFmtId="164"/>
    <dataField name="profit ml USD" fld="18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A5AD19-64E6-4BC2-9039-531C014E35F6}" name="target" displayName="target" ref="A1:B21" totalsRowShown="0">
  <autoFilter ref="A1:B21" xr:uid="{D8A5AD19-64E6-4BC2-9039-531C014E35F6}"/>
  <tableColumns count="2">
    <tableColumn id="1" xr3:uid="{A16E682B-3F9C-4136-AE15-48FB17F3F992}" name="studio"/>
    <tableColumn id="3" xr3:uid="{8A0B75DB-42AB-4E40-92F5-EE6E578BF2B5}" name="targe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F42" totalsRowShown="0" headerRowDxfId="5">
  <autoFilter ref="A1:F42" xr:uid="{6A7FE39D-5614-4A7F-89B7-C167ABC0A251}"/>
  <tableColumns count="6">
    <tableColumn id="1" xr3:uid="{5E453F0D-B27C-433C-BF11-BA3FE1A6822E}" name="movie_id_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4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3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2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1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F913-57A3-4438-BE17-B7C115025C86}">
  <dimension ref="A1:I26"/>
  <sheetViews>
    <sheetView showGridLines="0" tabSelected="1" workbookViewId="0">
      <selection sqref="A1:I1"/>
    </sheetView>
  </sheetViews>
  <sheetFormatPr defaultRowHeight="15" x14ac:dyDescent="0.25"/>
  <cols>
    <col min="1" max="1" width="30.140625" bestFit="1" customWidth="1"/>
    <col min="2" max="2" width="12.5703125" bestFit="1" customWidth="1"/>
    <col min="3" max="3" width="11.42578125" bestFit="1" customWidth="1"/>
    <col min="4" max="4" width="10.140625" bestFit="1" customWidth="1"/>
    <col min="5" max="5" width="8.140625" bestFit="1" customWidth="1"/>
    <col min="6" max="7" width="10.42578125" bestFit="1" customWidth="1"/>
    <col min="8" max="8" width="13.85546875" bestFit="1" customWidth="1"/>
    <col min="9" max="9" width="15.85546875" bestFit="1" customWidth="1"/>
  </cols>
  <sheetData>
    <row r="1" spans="1:9" x14ac:dyDescent="0.25">
      <c r="A1" s="15" t="s">
        <v>177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8"/>
      <c r="B2" s="8"/>
      <c r="C2" s="8"/>
      <c r="D2" s="8"/>
      <c r="E2" s="8"/>
      <c r="F2" s="8"/>
      <c r="G2" s="8"/>
      <c r="H2" s="8"/>
      <c r="I2" s="8"/>
    </row>
    <row r="3" spans="1:9" x14ac:dyDescent="0.25">
      <c r="A3" s="9" t="s">
        <v>160</v>
      </c>
      <c r="B3" s="8" t="s">
        <v>168</v>
      </c>
      <c r="C3" s="8" t="s">
        <v>169</v>
      </c>
      <c r="D3" s="8" t="s">
        <v>171</v>
      </c>
      <c r="E3" s="8" t="s">
        <v>170</v>
      </c>
      <c r="F3" s="8" t="s">
        <v>173</v>
      </c>
      <c r="G3" s="8" t="s">
        <v>174</v>
      </c>
      <c r="H3" s="8" t="s">
        <v>175</v>
      </c>
      <c r="I3" s="8" t="s">
        <v>176</v>
      </c>
    </row>
    <row r="4" spans="1:9" x14ac:dyDescent="0.25">
      <c r="A4" s="10" t="s">
        <v>6</v>
      </c>
      <c r="B4" s="7">
        <v>950.73749999999995</v>
      </c>
      <c r="C4" s="7">
        <v>213.875</v>
      </c>
      <c r="D4" s="11">
        <v>736.86249999999995</v>
      </c>
      <c r="E4" s="12">
        <v>3.4452951490356516</v>
      </c>
      <c r="F4" s="7">
        <v>166.43377999999998</v>
      </c>
      <c r="G4" s="7">
        <v>657.30562699999996</v>
      </c>
      <c r="H4" s="7">
        <v>79.556872999999996</v>
      </c>
      <c r="I4" s="12">
        <v>0.12103482722809553</v>
      </c>
    </row>
    <row r="5" spans="1:9" x14ac:dyDescent="0.25">
      <c r="A5" s="13" t="s">
        <v>25</v>
      </c>
      <c r="B5" s="7">
        <v>81.25</v>
      </c>
      <c r="C5" s="7">
        <v>22.5</v>
      </c>
      <c r="D5" s="11">
        <v>58.75</v>
      </c>
      <c r="E5" s="12">
        <v>2.6111111111111112</v>
      </c>
      <c r="F5" s="7">
        <v>42.7273</v>
      </c>
      <c r="G5" s="7">
        <v>42.7273</v>
      </c>
      <c r="H5" s="7">
        <v>16.0227</v>
      </c>
      <c r="I5" s="12">
        <v>0.37499912234098576</v>
      </c>
    </row>
    <row r="6" spans="1:9" x14ac:dyDescent="0.25">
      <c r="A6" s="13" t="s">
        <v>12</v>
      </c>
      <c r="B6" s="7">
        <v>28.875</v>
      </c>
      <c r="C6" s="7">
        <v>11.125</v>
      </c>
      <c r="D6" s="11">
        <v>17.75</v>
      </c>
      <c r="E6" s="12">
        <v>1.595505617977528</v>
      </c>
      <c r="F6" s="7">
        <v>12.171456000000001</v>
      </c>
      <c r="G6" s="7">
        <v>12.171456000000001</v>
      </c>
      <c r="H6" s="7">
        <v>5.5785439999999991</v>
      </c>
      <c r="I6" s="12">
        <v>0.45833004695576263</v>
      </c>
    </row>
    <row r="7" spans="1:9" x14ac:dyDescent="0.25">
      <c r="A7" s="13" t="s">
        <v>24</v>
      </c>
      <c r="B7" s="7">
        <v>150</v>
      </c>
      <c r="C7" s="7">
        <v>68.75</v>
      </c>
      <c r="D7" s="11">
        <v>81.25</v>
      </c>
      <c r="E7" s="12">
        <v>1.1818181818181819</v>
      </c>
      <c r="F7" s="7">
        <v>54.870139999999999</v>
      </c>
      <c r="G7" s="7">
        <v>54.870139999999999</v>
      </c>
      <c r="H7" s="7">
        <v>26.379860000000001</v>
      </c>
      <c r="I7" s="12">
        <v>0.48076895739650022</v>
      </c>
    </row>
    <row r="8" spans="1:9" x14ac:dyDescent="0.25">
      <c r="A8" s="13" t="s">
        <v>166</v>
      </c>
      <c r="B8" s="7">
        <v>1.25</v>
      </c>
      <c r="C8" s="7">
        <v>0.875</v>
      </c>
      <c r="D8" s="11">
        <v>0.375</v>
      </c>
      <c r="E8" s="12">
        <v>0.42857142857142855</v>
      </c>
      <c r="F8" s="7">
        <v>0.3</v>
      </c>
      <c r="G8" s="7">
        <v>0.3</v>
      </c>
      <c r="H8" s="7">
        <v>7.5000000000000011E-2</v>
      </c>
      <c r="I8" s="12">
        <v>0.25000000000000006</v>
      </c>
    </row>
    <row r="9" spans="1:9" x14ac:dyDescent="0.25">
      <c r="A9" s="13" t="s">
        <v>167</v>
      </c>
      <c r="B9" s="7">
        <v>156.25</v>
      </c>
      <c r="C9" s="7">
        <v>12.5</v>
      </c>
      <c r="D9" s="11">
        <v>143.75</v>
      </c>
      <c r="E9" s="12">
        <v>11.5</v>
      </c>
      <c r="F9" s="7">
        <v>165.779166</v>
      </c>
      <c r="G9" s="7">
        <v>165.779166</v>
      </c>
      <c r="H9" s="7">
        <v>-22.029166000000004</v>
      </c>
      <c r="I9" s="12">
        <v>-0.13288259635713212</v>
      </c>
    </row>
    <row r="10" spans="1:9" x14ac:dyDescent="0.25">
      <c r="A10" s="13" t="s">
        <v>23</v>
      </c>
      <c r="B10" s="7">
        <v>45</v>
      </c>
      <c r="C10" s="7">
        <v>25</v>
      </c>
      <c r="D10" s="11">
        <v>20</v>
      </c>
      <c r="E10" s="12">
        <v>0.8</v>
      </c>
      <c r="F10" s="7">
        <v>14.129856</v>
      </c>
      <c r="G10" s="7">
        <v>14.129856</v>
      </c>
      <c r="H10" s="7">
        <v>5.8701439999999998</v>
      </c>
      <c r="I10" s="12">
        <v>0.41544259191318011</v>
      </c>
    </row>
    <row r="11" spans="1:9" x14ac:dyDescent="0.25">
      <c r="A11" s="13" t="s">
        <v>27</v>
      </c>
      <c r="B11" s="7">
        <v>184.875</v>
      </c>
      <c r="C11" s="7">
        <v>33.75</v>
      </c>
      <c r="D11" s="11">
        <v>151.125</v>
      </c>
      <c r="E11" s="12">
        <v>4.4777777777777779</v>
      </c>
      <c r="F11" s="7">
        <v>166.43377999999998</v>
      </c>
      <c r="G11" s="7">
        <v>166.43377999999998</v>
      </c>
      <c r="H11" s="7">
        <v>-15.308779999999985</v>
      </c>
      <c r="I11" s="12">
        <v>-9.198120718041726E-2</v>
      </c>
    </row>
    <row r="12" spans="1:9" x14ac:dyDescent="0.25">
      <c r="A12" s="13" t="s">
        <v>11</v>
      </c>
      <c r="B12" s="7">
        <v>230.5</v>
      </c>
      <c r="C12" s="7">
        <v>30</v>
      </c>
      <c r="D12" s="11">
        <v>200.5</v>
      </c>
      <c r="E12" s="12">
        <v>6.6833333333333336</v>
      </c>
      <c r="F12" s="7">
        <v>135.40260499999999</v>
      </c>
      <c r="G12" s="7">
        <v>135.40260499999999</v>
      </c>
      <c r="H12" s="7">
        <v>65.097395000000006</v>
      </c>
      <c r="I12" s="12">
        <v>0.48076914768368018</v>
      </c>
    </row>
    <row r="13" spans="1:9" x14ac:dyDescent="0.25">
      <c r="A13" s="13" t="s">
        <v>22</v>
      </c>
      <c r="B13" s="7">
        <v>5.125</v>
      </c>
      <c r="C13" s="7">
        <v>1.25</v>
      </c>
      <c r="D13" s="11">
        <v>3.875</v>
      </c>
      <c r="E13" s="12">
        <v>3.1</v>
      </c>
      <c r="F13" s="7">
        <v>3.4623599999999999</v>
      </c>
      <c r="G13" s="7">
        <v>3.4623599999999999</v>
      </c>
      <c r="H13" s="7">
        <v>0.41264000000000012</v>
      </c>
      <c r="I13" s="12">
        <v>0.11917882600307309</v>
      </c>
    </row>
    <row r="14" spans="1:9" x14ac:dyDescent="0.25">
      <c r="A14" s="13" t="s">
        <v>10</v>
      </c>
      <c r="B14" s="7">
        <v>25</v>
      </c>
      <c r="C14" s="7">
        <v>5</v>
      </c>
      <c r="D14" s="11">
        <v>20</v>
      </c>
      <c r="E14" s="12">
        <v>4</v>
      </c>
      <c r="F14" s="7">
        <v>22.233744000000002</v>
      </c>
      <c r="G14" s="7">
        <v>22.233744000000002</v>
      </c>
      <c r="H14" s="7">
        <v>-2.2337440000000015</v>
      </c>
      <c r="I14" s="12">
        <v>-0.10046639018601641</v>
      </c>
    </row>
    <row r="15" spans="1:9" x14ac:dyDescent="0.25">
      <c r="A15" s="13" t="s">
        <v>26</v>
      </c>
      <c r="B15" s="7">
        <v>42.612499999999997</v>
      </c>
      <c r="C15" s="7">
        <v>3.125</v>
      </c>
      <c r="D15" s="11">
        <v>39.487499999999997</v>
      </c>
      <c r="E15" s="12">
        <v>12.635999999999999</v>
      </c>
      <c r="F15" s="7">
        <v>39.79522</v>
      </c>
      <c r="G15" s="7">
        <v>39.79522</v>
      </c>
      <c r="H15" s="7">
        <v>-0.30772000000000332</v>
      </c>
      <c r="I15" s="12">
        <v>-7.7325869790392746E-3</v>
      </c>
    </row>
    <row r="16" spans="1:9" x14ac:dyDescent="0.25">
      <c r="A16" s="10" t="s">
        <v>7</v>
      </c>
      <c r="B16" s="7">
        <v>18314.800000000003</v>
      </c>
      <c r="C16" s="7">
        <v>3054.08</v>
      </c>
      <c r="D16" s="11">
        <v>15260.720000000003</v>
      </c>
      <c r="E16" s="12">
        <v>4.9968304694048626</v>
      </c>
      <c r="F16" s="7">
        <v>6000</v>
      </c>
      <c r="G16" s="7">
        <v>13251.378000000001</v>
      </c>
      <c r="H16" s="7">
        <v>2009.3420000000024</v>
      </c>
      <c r="I16" s="12">
        <v>0.1516326830311536</v>
      </c>
    </row>
    <row r="17" spans="1:9" x14ac:dyDescent="0.25">
      <c r="A17" s="13" t="s">
        <v>19</v>
      </c>
      <c r="B17" s="7">
        <v>2847</v>
      </c>
      <c r="C17" s="7">
        <v>237</v>
      </c>
      <c r="D17" s="11">
        <v>2610</v>
      </c>
      <c r="E17" s="12">
        <v>11.012658227848101</v>
      </c>
      <c r="F17" s="7">
        <v>2244.6</v>
      </c>
      <c r="G17" s="7">
        <v>2244.6</v>
      </c>
      <c r="H17" s="7">
        <v>365.40000000000009</v>
      </c>
      <c r="I17" s="12">
        <v>0.16279069767441864</v>
      </c>
    </row>
    <row r="18" spans="1:9" x14ac:dyDescent="0.25">
      <c r="A18" s="13" t="s">
        <v>13</v>
      </c>
      <c r="B18" s="7">
        <v>73.3</v>
      </c>
      <c r="C18" s="7">
        <v>25</v>
      </c>
      <c r="D18" s="11">
        <v>48.3</v>
      </c>
      <c r="E18" s="12">
        <v>1.9319999999999999</v>
      </c>
      <c r="F18" s="7">
        <v>47.333999999999996</v>
      </c>
      <c r="G18" s="7">
        <v>47.333999999999996</v>
      </c>
      <c r="H18" s="7">
        <v>0.96600000000000108</v>
      </c>
      <c r="I18" s="12">
        <v>2.0408163265306149E-2</v>
      </c>
    </row>
    <row r="19" spans="1:9" x14ac:dyDescent="0.25">
      <c r="A19" s="13" t="s">
        <v>15</v>
      </c>
      <c r="B19" s="7">
        <v>307.10000000000002</v>
      </c>
      <c r="C19" s="7">
        <v>55</v>
      </c>
      <c r="D19" s="11">
        <v>252.10000000000002</v>
      </c>
      <c r="E19" s="12">
        <v>4.583636363636364</v>
      </c>
      <c r="F19" s="7">
        <v>229.411</v>
      </c>
      <c r="G19" s="7">
        <v>229.411</v>
      </c>
      <c r="H19" s="7">
        <v>22.689000000000021</v>
      </c>
      <c r="I19" s="12">
        <v>9.8901098901098994E-2</v>
      </c>
    </row>
    <row r="20" spans="1:9" x14ac:dyDescent="0.25">
      <c r="A20" s="13" t="s">
        <v>18</v>
      </c>
      <c r="B20" s="7">
        <v>3.3</v>
      </c>
      <c r="C20" s="7">
        <v>3.18</v>
      </c>
      <c r="D20" s="11">
        <v>0.11999999999999966</v>
      </c>
      <c r="E20" s="12">
        <v>3.7735849056603668E-2</v>
      </c>
      <c r="F20" s="7">
        <v>0.86</v>
      </c>
      <c r="G20" s="7">
        <v>0.86</v>
      </c>
      <c r="H20" s="7">
        <v>-0.74000000000000032</v>
      </c>
      <c r="I20" s="12">
        <v>-0.86046511627907019</v>
      </c>
    </row>
    <row r="21" spans="1:9" x14ac:dyDescent="0.25">
      <c r="A21" s="13" t="s">
        <v>8</v>
      </c>
      <c r="B21" s="7">
        <v>9054.6</v>
      </c>
      <c r="C21" s="7">
        <v>1988.7</v>
      </c>
      <c r="D21" s="11">
        <v>7065.9000000000005</v>
      </c>
      <c r="E21" s="12">
        <v>3.5530245889274403</v>
      </c>
      <c r="F21" s="7">
        <v>6000</v>
      </c>
      <c r="G21" s="7">
        <v>6000</v>
      </c>
      <c r="H21" s="7">
        <v>1065.9000000000005</v>
      </c>
      <c r="I21" s="12">
        <v>0.17765000000000009</v>
      </c>
    </row>
    <row r="22" spans="1:9" x14ac:dyDescent="0.25">
      <c r="A22" s="13" t="s">
        <v>17</v>
      </c>
      <c r="B22" s="7">
        <v>2493</v>
      </c>
      <c r="C22" s="7">
        <v>207.2</v>
      </c>
      <c r="D22" s="11">
        <v>2285.8000000000002</v>
      </c>
      <c r="E22" s="12">
        <v>11.031853281853284</v>
      </c>
      <c r="F22" s="7">
        <v>2194.3679999999999</v>
      </c>
      <c r="G22" s="7">
        <v>2194.3679999999999</v>
      </c>
      <c r="H22" s="7">
        <v>91.432000000000244</v>
      </c>
      <c r="I22" s="12">
        <v>4.1666666666666782E-2</v>
      </c>
    </row>
    <row r="23" spans="1:9" x14ac:dyDescent="0.25">
      <c r="A23" s="13" t="s">
        <v>20</v>
      </c>
      <c r="B23" s="7">
        <v>1006</v>
      </c>
      <c r="C23" s="7">
        <v>185</v>
      </c>
      <c r="D23" s="11">
        <v>821</v>
      </c>
      <c r="E23" s="12">
        <v>4.4378378378378383</v>
      </c>
      <c r="F23" s="7">
        <v>640.38</v>
      </c>
      <c r="G23" s="7">
        <v>640.38</v>
      </c>
      <c r="H23" s="7">
        <v>180.62</v>
      </c>
      <c r="I23" s="12">
        <v>0.28205128205128205</v>
      </c>
    </row>
    <row r="24" spans="1:9" x14ac:dyDescent="0.25">
      <c r="A24" s="13" t="s">
        <v>21</v>
      </c>
      <c r="B24" s="7">
        <v>1828.7</v>
      </c>
      <c r="C24" s="7">
        <v>188</v>
      </c>
      <c r="D24" s="11">
        <v>1640.7</v>
      </c>
      <c r="E24" s="12">
        <v>8.7271276595744691</v>
      </c>
      <c r="F24" s="7">
        <v>1427.4090000000001</v>
      </c>
      <c r="G24" s="7">
        <v>1427.4090000000001</v>
      </c>
      <c r="H24" s="7">
        <v>213.29099999999994</v>
      </c>
      <c r="I24" s="12">
        <v>0.1494252873563218</v>
      </c>
    </row>
    <row r="25" spans="1:9" x14ac:dyDescent="0.25">
      <c r="A25" s="13" t="s">
        <v>14</v>
      </c>
      <c r="B25" s="7">
        <v>701.8</v>
      </c>
      <c r="C25" s="7">
        <v>165</v>
      </c>
      <c r="D25" s="11">
        <v>536.79999999999995</v>
      </c>
      <c r="E25" s="12">
        <v>3.253333333333333</v>
      </c>
      <c r="F25" s="7">
        <v>467.01599999999996</v>
      </c>
      <c r="G25" s="7">
        <v>467.01599999999996</v>
      </c>
      <c r="H25" s="7">
        <v>69.783999999999992</v>
      </c>
      <c r="I25" s="12">
        <v>0.14942528735632182</v>
      </c>
    </row>
    <row r="26" spans="1:9" x14ac:dyDescent="0.25">
      <c r="A26" s="10" t="s">
        <v>161</v>
      </c>
      <c r="B26" s="7">
        <v>19265.537500000002</v>
      </c>
      <c r="C26" s="7">
        <v>3267.9549999999999</v>
      </c>
      <c r="D26" s="11">
        <v>15997.582500000002</v>
      </c>
      <c r="E26" s="12">
        <v>4.8952884908145924</v>
      </c>
      <c r="F26" s="7">
        <v>6000</v>
      </c>
      <c r="G26" s="7">
        <v>13908.683627</v>
      </c>
      <c r="H26" s="7">
        <v>2088.8988730000019</v>
      </c>
      <c r="I26" s="12">
        <v>0.15018666963888386</v>
      </c>
    </row>
  </sheetData>
  <mergeCells count="1">
    <mergeCell ref="A1:I1"/>
  </mergeCells>
  <conditionalFormatting sqref="I1:I1048576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AA64-661F-40F7-8169-F9EB129433CD}">
  <dimension ref="A1:D45"/>
  <sheetViews>
    <sheetView showGridLines="0" zoomScaleNormal="100" workbookViewId="0">
      <selection activeCell="D29" sqref="D29"/>
    </sheetView>
  </sheetViews>
  <sheetFormatPr defaultRowHeight="15" x14ac:dyDescent="0.25"/>
  <cols>
    <col min="1" max="1" width="45" bestFit="1" customWidth="1"/>
    <col min="2" max="2" width="14.28515625" bestFit="1" customWidth="1"/>
    <col min="3" max="3" width="15.42578125" bestFit="1" customWidth="1"/>
    <col min="4" max="4" width="12.85546875" bestFit="1" customWidth="1"/>
  </cols>
  <sheetData>
    <row r="1" spans="1:4" x14ac:dyDescent="0.25">
      <c r="A1" s="16" t="s">
        <v>165</v>
      </c>
      <c r="B1" s="16"/>
      <c r="C1" s="16"/>
      <c r="D1" s="16"/>
    </row>
    <row r="3" spans="1:4" x14ac:dyDescent="0.25">
      <c r="A3" s="3" t="s">
        <v>160</v>
      </c>
      <c r="B3" t="s">
        <v>162</v>
      </c>
      <c r="C3" t="s">
        <v>163</v>
      </c>
      <c r="D3" t="s">
        <v>164</v>
      </c>
    </row>
    <row r="4" spans="1:4" x14ac:dyDescent="0.25">
      <c r="A4" s="4" t="s">
        <v>6</v>
      </c>
      <c r="B4" s="5">
        <v>232.875</v>
      </c>
      <c r="C4" s="5">
        <v>1011.3625</v>
      </c>
      <c r="D4" s="5">
        <v>778.48749999999995</v>
      </c>
    </row>
    <row r="5" spans="1:4" x14ac:dyDescent="0.25">
      <c r="A5" s="14" t="s">
        <v>178</v>
      </c>
      <c r="B5" s="5">
        <v>6.875</v>
      </c>
      <c r="C5" s="5">
        <v>50</v>
      </c>
      <c r="D5" s="5">
        <v>43.125</v>
      </c>
    </row>
    <row r="6" spans="1:4" x14ac:dyDescent="0.25">
      <c r="A6" s="14" t="s">
        <v>179</v>
      </c>
      <c r="B6" s="5">
        <v>22.5</v>
      </c>
      <c r="C6" s="5">
        <v>81.25</v>
      </c>
      <c r="D6" s="5">
        <v>58.75</v>
      </c>
    </row>
    <row r="7" spans="1:4" x14ac:dyDescent="0.25">
      <c r="A7" s="14" t="s">
        <v>180</v>
      </c>
      <c r="B7" s="5">
        <v>17.5</v>
      </c>
      <c r="C7" s="5">
        <v>43.75</v>
      </c>
      <c r="D7" s="5">
        <v>26.25</v>
      </c>
    </row>
    <row r="8" spans="1:4" x14ac:dyDescent="0.25">
      <c r="A8" s="14" t="s">
        <v>181</v>
      </c>
      <c r="B8" s="5">
        <v>11.25</v>
      </c>
      <c r="C8" s="5">
        <v>146.125</v>
      </c>
      <c r="D8" s="5">
        <v>134.875</v>
      </c>
    </row>
    <row r="9" spans="1:4" x14ac:dyDescent="0.25">
      <c r="A9" s="14" t="s">
        <v>182</v>
      </c>
      <c r="B9" s="5">
        <v>5</v>
      </c>
      <c r="C9" s="5">
        <v>25</v>
      </c>
      <c r="D9" s="5">
        <v>20</v>
      </c>
    </row>
    <row r="10" spans="1:4" x14ac:dyDescent="0.25">
      <c r="A10" s="14" t="s">
        <v>183</v>
      </c>
      <c r="B10" s="5">
        <v>12.5</v>
      </c>
      <c r="C10" s="5">
        <v>156.25</v>
      </c>
      <c r="D10" s="5">
        <v>143.75</v>
      </c>
    </row>
    <row r="11" spans="1:4" x14ac:dyDescent="0.25">
      <c r="A11" s="14" t="s">
        <v>184</v>
      </c>
      <c r="B11" s="5">
        <v>4.875</v>
      </c>
      <c r="C11" s="5">
        <v>17</v>
      </c>
      <c r="D11" s="5">
        <v>12.125</v>
      </c>
    </row>
    <row r="12" spans="1:4" x14ac:dyDescent="0.25">
      <c r="A12" s="14" t="s">
        <v>185</v>
      </c>
      <c r="B12" s="5">
        <v>1.25</v>
      </c>
      <c r="C12" s="5">
        <v>5.125</v>
      </c>
      <c r="D12" s="5">
        <v>3.875</v>
      </c>
    </row>
    <row r="13" spans="1:4" x14ac:dyDescent="0.25">
      <c r="A13" s="14" t="s">
        <v>186</v>
      </c>
      <c r="B13" s="5">
        <v>0.875</v>
      </c>
      <c r="C13" s="5">
        <v>1.25</v>
      </c>
      <c r="D13" s="5">
        <v>0.375</v>
      </c>
    </row>
    <row r="14" spans="1:4" x14ac:dyDescent="0.25">
      <c r="A14" s="14" t="s">
        <v>187</v>
      </c>
      <c r="B14" s="5">
        <v>10.625</v>
      </c>
      <c r="C14" s="5">
        <v>106.75</v>
      </c>
      <c r="D14" s="5">
        <v>96.125</v>
      </c>
    </row>
    <row r="15" spans="1:4" x14ac:dyDescent="0.25">
      <c r="A15" s="14" t="s">
        <v>188</v>
      </c>
      <c r="B15" s="5">
        <v>25</v>
      </c>
      <c r="C15" s="5">
        <v>45</v>
      </c>
      <c r="D15" s="5">
        <v>20</v>
      </c>
    </row>
    <row r="16" spans="1:4" x14ac:dyDescent="0.25">
      <c r="A16" s="14" t="s">
        <v>189</v>
      </c>
      <c r="B16" s="5">
        <v>22.5</v>
      </c>
      <c r="C16" s="5">
        <v>38.75</v>
      </c>
      <c r="D16" s="5">
        <v>16.25</v>
      </c>
    </row>
    <row r="17" spans="1:4" x14ac:dyDescent="0.25">
      <c r="A17" s="14" t="s">
        <v>190</v>
      </c>
      <c r="B17" s="5">
        <v>68.75</v>
      </c>
      <c r="C17" s="5">
        <v>150</v>
      </c>
      <c r="D17" s="5">
        <v>81.25</v>
      </c>
    </row>
    <row r="18" spans="1:4" x14ac:dyDescent="0.25">
      <c r="A18" s="14" t="s">
        <v>191</v>
      </c>
      <c r="B18" s="5">
        <v>12.5</v>
      </c>
      <c r="C18" s="5">
        <v>73.75</v>
      </c>
      <c r="D18" s="5">
        <v>61.25</v>
      </c>
    </row>
    <row r="19" spans="1:4" x14ac:dyDescent="0.25">
      <c r="A19" s="14" t="s">
        <v>192</v>
      </c>
      <c r="B19" s="5">
        <v>6.25</v>
      </c>
      <c r="C19" s="5">
        <v>11.875</v>
      </c>
      <c r="D19" s="5">
        <v>5.625</v>
      </c>
    </row>
    <row r="20" spans="1:4" x14ac:dyDescent="0.25">
      <c r="A20" s="14" t="s">
        <v>193</v>
      </c>
      <c r="B20" s="5"/>
      <c r="C20" s="5"/>
      <c r="D20" s="5"/>
    </row>
    <row r="21" spans="1:4" x14ac:dyDescent="0.25">
      <c r="A21" s="14" t="s">
        <v>194</v>
      </c>
      <c r="B21" s="5">
        <v>1.5</v>
      </c>
      <c r="C21" s="5">
        <v>16.875</v>
      </c>
      <c r="D21" s="5">
        <v>15.375</v>
      </c>
    </row>
    <row r="22" spans="1:4" x14ac:dyDescent="0.25">
      <c r="A22" s="14" t="s">
        <v>195</v>
      </c>
      <c r="B22" s="5">
        <v>3.125</v>
      </c>
      <c r="C22" s="5">
        <v>42.612499999999997</v>
      </c>
      <c r="D22" s="5">
        <v>39.487499999999997</v>
      </c>
    </row>
    <row r="23" spans="1:4" x14ac:dyDescent="0.25">
      <c r="A23" s="4" t="s">
        <v>7</v>
      </c>
      <c r="B23" s="5">
        <v>3069.58</v>
      </c>
      <c r="C23" s="5">
        <v>18577.900000000001</v>
      </c>
      <c r="D23" s="5">
        <v>15508.32</v>
      </c>
    </row>
    <row r="24" spans="1:4" x14ac:dyDescent="0.25">
      <c r="A24" s="14" t="s">
        <v>196</v>
      </c>
      <c r="B24" s="5">
        <v>25</v>
      </c>
      <c r="C24" s="5">
        <v>73.3</v>
      </c>
      <c r="D24" s="5">
        <v>48.3</v>
      </c>
    </row>
    <row r="25" spans="1:4" x14ac:dyDescent="0.25">
      <c r="A25" s="14" t="s">
        <v>197</v>
      </c>
      <c r="B25" s="5">
        <v>237</v>
      </c>
      <c r="C25" s="5">
        <v>2847</v>
      </c>
      <c r="D25" s="5">
        <v>2610</v>
      </c>
    </row>
    <row r="26" spans="1:4" x14ac:dyDescent="0.25">
      <c r="A26" s="14" t="s">
        <v>198</v>
      </c>
      <c r="B26" s="5">
        <v>400</v>
      </c>
      <c r="C26" s="5">
        <v>2798</v>
      </c>
      <c r="D26" s="5">
        <v>2398</v>
      </c>
    </row>
    <row r="27" spans="1:4" x14ac:dyDescent="0.25">
      <c r="A27" s="14" t="s">
        <v>199</v>
      </c>
      <c r="B27" s="5">
        <v>400</v>
      </c>
      <c r="C27" s="5">
        <v>2048</v>
      </c>
      <c r="D27" s="5">
        <v>1648</v>
      </c>
    </row>
    <row r="28" spans="1:4" x14ac:dyDescent="0.25">
      <c r="A28" s="14" t="s">
        <v>200</v>
      </c>
      <c r="B28" s="5">
        <v>216.7</v>
      </c>
      <c r="C28" s="5">
        <v>370.6</v>
      </c>
      <c r="D28" s="5">
        <v>153.90000000000003</v>
      </c>
    </row>
    <row r="29" spans="1:4" x14ac:dyDescent="0.25">
      <c r="A29" s="14" t="s">
        <v>201</v>
      </c>
      <c r="B29" s="5">
        <v>177</v>
      </c>
      <c r="C29" s="5">
        <v>714.4</v>
      </c>
      <c r="D29" s="5">
        <v>537.4</v>
      </c>
    </row>
    <row r="30" spans="1:4" x14ac:dyDescent="0.25">
      <c r="A30" s="14" t="s">
        <v>202</v>
      </c>
      <c r="B30" s="5">
        <v>200</v>
      </c>
      <c r="C30" s="5">
        <v>954.8</v>
      </c>
      <c r="D30" s="5">
        <v>754.8</v>
      </c>
    </row>
    <row r="31" spans="1:4" x14ac:dyDescent="0.25">
      <c r="A31" s="14" t="s">
        <v>203</v>
      </c>
      <c r="B31" s="5">
        <v>103</v>
      </c>
      <c r="C31" s="5">
        <v>460.5</v>
      </c>
      <c r="D31" s="5">
        <v>357.5</v>
      </c>
    </row>
    <row r="32" spans="1:4" x14ac:dyDescent="0.25">
      <c r="A32" s="14" t="s">
        <v>204</v>
      </c>
      <c r="B32" s="5"/>
      <c r="C32" s="5"/>
      <c r="D32" s="5"/>
    </row>
    <row r="33" spans="1:4" x14ac:dyDescent="0.25">
      <c r="A33" s="14" t="s">
        <v>205</v>
      </c>
      <c r="B33" s="5">
        <v>165</v>
      </c>
      <c r="C33" s="5">
        <v>701.8</v>
      </c>
      <c r="D33" s="5">
        <v>536.79999999999995</v>
      </c>
    </row>
    <row r="34" spans="1:4" x14ac:dyDescent="0.25">
      <c r="A34" s="14" t="s">
        <v>206</v>
      </c>
      <c r="B34" s="5">
        <v>3.18</v>
      </c>
      <c r="C34" s="5">
        <v>3.3</v>
      </c>
      <c r="D34" s="5">
        <v>0.11999999999999966</v>
      </c>
    </row>
    <row r="35" spans="1:4" x14ac:dyDescent="0.25">
      <c r="A35" s="14" t="s">
        <v>207</v>
      </c>
      <c r="B35" s="5">
        <v>63</v>
      </c>
      <c r="C35" s="5">
        <v>1046</v>
      </c>
      <c r="D35" s="5">
        <v>983</v>
      </c>
    </row>
    <row r="36" spans="1:4" x14ac:dyDescent="0.25">
      <c r="A36" s="14" t="s">
        <v>208</v>
      </c>
      <c r="B36" s="5">
        <v>15.5</v>
      </c>
      <c r="C36" s="5">
        <v>263.10000000000002</v>
      </c>
      <c r="D36" s="5">
        <v>247.60000000000002</v>
      </c>
    </row>
    <row r="37" spans="1:4" x14ac:dyDescent="0.25">
      <c r="A37" s="14" t="s">
        <v>209</v>
      </c>
      <c r="B37" s="5">
        <v>22</v>
      </c>
      <c r="C37" s="5">
        <v>322.2</v>
      </c>
      <c r="D37" s="5">
        <v>300.2</v>
      </c>
    </row>
    <row r="38" spans="1:4" x14ac:dyDescent="0.25">
      <c r="A38" s="14" t="s">
        <v>210</v>
      </c>
      <c r="B38" s="5">
        <v>185</v>
      </c>
      <c r="C38" s="5">
        <v>1006</v>
      </c>
      <c r="D38" s="5">
        <v>821</v>
      </c>
    </row>
    <row r="39" spans="1:4" x14ac:dyDescent="0.25">
      <c r="A39" s="14" t="s">
        <v>211</v>
      </c>
      <c r="B39" s="5">
        <v>7.2</v>
      </c>
      <c r="C39" s="5">
        <v>291</v>
      </c>
      <c r="D39" s="5">
        <v>283.8</v>
      </c>
    </row>
    <row r="40" spans="1:4" x14ac:dyDescent="0.25">
      <c r="A40" s="14" t="s">
        <v>212</v>
      </c>
      <c r="B40" s="5">
        <v>55</v>
      </c>
      <c r="C40" s="5">
        <v>307.10000000000002</v>
      </c>
      <c r="D40" s="5">
        <v>252.10000000000002</v>
      </c>
    </row>
    <row r="41" spans="1:4" x14ac:dyDescent="0.25">
      <c r="A41" s="14" t="s">
        <v>213</v>
      </c>
      <c r="B41" s="5">
        <v>250</v>
      </c>
      <c r="C41" s="5">
        <v>670</v>
      </c>
      <c r="D41" s="5">
        <v>420</v>
      </c>
    </row>
    <row r="42" spans="1:4" x14ac:dyDescent="0.25">
      <c r="A42" s="14" t="s">
        <v>214</v>
      </c>
      <c r="B42" s="5">
        <v>180</v>
      </c>
      <c r="C42" s="5">
        <v>854</v>
      </c>
      <c r="D42" s="5">
        <v>674</v>
      </c>
    </row>
    <row r="43" spans="1:4" x14ac:dyDescent="0.25">
      <c r="A43" s="14" t="s">
        <v>215</v>
      </c>
      <c r="B43" s="5">
        <v>165</v>
      </c>
      <c r="C43" s="5">
        <v>644.79999999999995</v>
      </c>
      <c r="D43" s="5">
        <v>479.79999999999995</v>
      </c>
    </row>
    <row r="44" spans="1:4" x14ac:dyDescent="0.25">
      <c r="A44" s="14" t="s">
        <v>216</v>
      </c>
      <c r="B44" s="5">
        <v>200</v>
      </c>
      <c r="C44" s="5">
        <v>2202</v>
      </c>
      <c r="D44" s="5">
        <v>2002</v>
      </c>
    </row>
    <row r="45" spans="1:4" x14ac:dyDescent="0.25">
      <c r="A45" s="4" t="s">
        <v>161</v>
      </c>
      <c r="B45" s="5">
        <v>3302.4549999999995</v>
      </c>
      <c r="C45" s="5">
        <v>19589.262500000001</v>
      </c>
      <c r="D45" s="5">
        <v>16286.807499999999</v>
      </c>
    </row>
  </sheetData>
  <mergeCells count="1">
    <mergeCell ref="A1:D1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27BB-4AC0-42C2-9B42-5B21E31C3834}">
  <dimension ref="A1:B21"/>
  <sheetViews>
    <sheetView workbookViewId="0">
      <selection activeCell="A9" sqref="A9"/>
    </sheetView>
  </sheetViews>
  <sheetFormatPr defaultRowHeight="15" x14ac:dyDescent="0.25"/>
  <cols>
    <col min="1" max="1" width="31.85546875" customWidth="1"/>
    <col min="2" max="2" width="16.140625" customWidth="1"/>
  </cols>
  <sheetData>
    <row r="1" spans="1:2" x14ac:dyDescent="0.25">
      <c r="A1" t="s">
        <v>4</v>
      </c>
      <c r="B1" t="s">
        <v>172</v>
      </c>
    </row>
    <row r="2" spans="1:2" x14ac:dyDescent="0.25">
      <c r="A2" t="s">
        <v>19</v>
      </c>
      <c r="B2" s="6">
        <v>2244.6</v>
      </c>
    </row>
    <row r="3" spans="1:2" x14ac:dyDescent="0.25">
      <c r="A3" t="s">
        <v>25</v>
      </c>
      <c r="B3" s="6">
        <v>42.7273</v>
      </c>
    </row>
    <row r="4" spans="1:2" x14ac:dyDescent="0.25">
      <c r="A4" t="s">
        <v>13</v>
      </c>
      <c r="B4" s="6">
        <v>47.333999999999996</v>
      </c>
    </row>
    <row r="5" spans="1:2" x14ac:dyDescent="0.25">
      <c r="A5" t="s">
        <v>15</v>
      </c>
      <c r="B5" s="6">
        <v>229.411</v>
      </c>
    </row>
    <row r="6" spans="1:2" x14ac:dyDescent="0.25">
      <c r="A6" t="s">
        <v>12</v>
      </c>
      <c r="B6" s="6">
        <v>12.171456000000001</v>
      </c>
    </row>
    <row r="7" spans="1:2" x14ac:dyDescent="0.25">
      <c r="A7" t="s">
        <v>24</v>
      </c>
      <c r="B7" s="6">
        <v>54.870139999999999</v>
      </c>
    </row>
    <row r="8" spans="1:2" x14ac:dyDescent="0.25">
      <c r="A8" t="s">
        <v>166</v>
      </c>
      <c r="B8" s="6">
        <v>0.3</v>
      </c>
    </row>
    <row r="9" spans="1:2" x14ac:dyDescent="0.25">
      <c r="A9" t="s">
        <v>167</v>
      </c>
      <c r="B9" s="6">
        <v>165.779166</v>
      </c>
    </row>
    <row r="10" spans="1:2" x14ac:dyDescent="0.25">
      <c r="A10" t="s">
        <v>18</v>
      </c>
      <c r="B10" s="6">
        <v>0.86</v>
      </c>
    </row>
    <row r="11" spans="1:2" x14ac:dyDescent="0.25">
      <c r="A11" t="s">
        <v>8</v>
      </c>
      <c r="B11" s="6">
        <v>6000</v>
      </c>
    </row>
    <row r="12" spans="1:2" x14ac:dyDescent="0.25">
      <c r="A12" t="s">
        <v>23</v>
      </c>
      <c r="B12" s="6">
        <v>14.129856</v>
      </c>
    </row>
    <row r="13" spans="1:2" x14ac:dyDescent="0.25">
      <c r="A13" t="s">
        <v>17</v>
      </c>
      <c r="B13" s="6">
        <v>2194.3679999999999</v>
      </c>
    </row>
    <row r="14" spans="1:2" x14ac:dyDescent="0.25">
      <c r="A14" t="s">
        <v>27</v>
      </c>
      <c r="B14" s="6">
        <v>166.43377999999998</v>
      </c>
    </row>
    <row r="15" spans="1:2" x14ac:dyDescent="0.25">
      <c r="A15" t="s">
        <v>20</v>
      </c>
      <c r="B15" s="6">
        <v>640.38</v>
      </c>
    </row>
    <row r="16" spans="1:2" x14ac:dyDescent="0.25">
      <c r="A16" t="s">
        <v>21</v>
      </c>
      <c r="B16" s="6">
        <v>1427.4090000000001</v>
      </c>
    </row>
    <row r="17" spans="1:2" x14ac:dyDescent="0.25">
      <c r="A17" t="s">
        <v>11</v>
      </c>
      <c r="B17" s="6">
        <v>135.40260499999999</v>
      </c>
    </row>
    <row r="18" spans="1:2" x14ac:dyDescent="0.25">
      <c r="A18" t="s">
        <v>22</v>
      </c>
      <c r="B18" s="6">
        <v>3.4623599999999999</v>
      </c>
    </row>
    <row r="19" spans="1:2" x14ac:dyDescent="0.25">
      <c r="A19" t="s">
        <v>14</v>
      </c>
      <c r="B19" s="6">
        <v>467.01599999999996</v>
      </c>
    </row>
    <row r="20" spans="1:2" x14ac:dyDescent="0.25">
      <c r="A20" t="s">
        <v>10</v>
      </c>
      <c r="B20" s="6">
        <v>22.233744000000002</v>
      </c>
    </row>
    <row r="21" spans="1:2" x14ac:dyDescent="0.25">
      <c r="A21" t="s">
        <v>26</v>
      </c>
      <c r="B21" s="6">
        <v>39.79522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zoomScale="115" zoomScaleNormal="115" workbookViewId="0">
      <selection activeCell="A13" sqref="A13"/>
    </sheetView>
  </sheetViews>
  <sheetFormatPr defaultRowHeight="15" x14ac:dyDescent="0.25"/>
  <cols>
    <col min="1" max="1" width="44.85546875" bestFit="1" customWidth="1"/>
    <col min="2" max="2" width="10.5703125" bestFit="1" customWidth="1"/>
    <col min="3" max="3" width="14.7109375" customWidth="1"/>
    <col min="4" max="4" width="12.42578125" customWidth="1"/>
    <col min="5" max="5" width="26.42578125" bestFit="1" customWidth="1"/>
    <col min="6" max="6" width="12.42578125" customWidth="1"/>
  </cols>
  <sheetData>
    <row r="1" spans="1:6" x14ac:dyDescent="0.25">
      <c r="A1" s="1" t="s">
        <v>115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121</v>
      </c>
      <c r="B2" t="s">
        <v>6</v>
      </c>
      <c r="C2">
        <v>2022</v>
      </c>
      <c r="D2">
        <v>8.4</v>
      </c>
      <c r="E2" t="s">
        <v>116</v>
      </c>
      <c r="F2">
        <v>3</v>
      </c>
    </row>
    <row r="3" spans="1:6" x14ac:dyDescent="0.25">
      <c r="A3" t="s">
        <v>122</v>
      </c>
      <c r="B3" t="s">
        <v>7</v>
      </c>
      <c r="C3">
        <v>2022</v>
      </c>
      <c r="D3">
        <v>7</v>
      </c>
      <c r="E3" t="s">
        <v>8</v>
      </c>
      <c r="F3">
        <v>5</v>
      </c>
    </row>
    <row r="4" spans="1:6" x14ac:dyDescent="0.25">
      <c r="A4" t="s">
        <v>123</v>
      </c>
      <c r="B4" t="s">
        <v>7</v>
      </c>
      <c r="C4">
        <v>2013</v>
      </c>
      <c r="D4">
        <v>6.8</v>
      </c>
      <c r="E4" t="s">
        <v>8</v>
      </c>
      <c r="F4">
        <v>5</v>
      </c>
    </row>
    <row r="5" spans="1:6" x14ac:dyDescent="0.25">
      <c r="A5" t="s">
        <v>124</v>
      </c>
      <c r="B5" t="s">
        <v>7</v>
      </c>
      <c r="C5">
        <v>2017</v>
      </c>
      <c r="D5">
        <v>7.9</v>
      </c>
      <c r="E5" t="s">
        <v>118</v>
      </c>
      <c r="F5">
        <v>5</v>
      </c>
    </row>
    <row r="6" spans="1:6" x14ac:dyDescent="0.25">
      <c r="A6" t="s">
        <v>125</v>
      </c>
      <c r="B6" t="s">
        <v>7</v>
      </c>
      <c r="C6">
        <v>2022</v>
      </c>
      <c r="D6">
        <v>6.8</v>
      </c>
      <c r="E6" t="s">
        <v>8</v>
      </c>
      <c r="F6">
        <v>5</v>
      </c>
    </row>
    <row r="7" spans="1:6" x14ac:dyDescent="0.25">
      <c r="A7" t="s">
        <v>126</v>
      </c>
      <c r="B7" t="s">
        <v>6</v>
      </c>
      <c r="C7">
        <v>1975</v>
      </c>
      <c r="D7">
        <v>8.1</v>
      </c>
      <c r="E7" t="s">
        <v>9</v>
      </c>
      <c r="F7">
        <v>1</v>
      </c>
    </row>
    <row r="8" spans="1:6" x14ac:dyDescent="0.25">
      <c r="A8" t="s">
        <v>127</v>
      </c>
      <c r="B8" t="s">
        <v>6</v>
      </c>
      <c r="C8">
        <v>1995</v>
      </c>
      <c r="D8">
        <v>8</v>
      </c>
      <c r="E8" t="s">
        <v>10</v>
      </c>
      <c r="F8">
        <v>1</v>
      </c>
    </row>
    <row r="9" spans="1:6" x14ac:dyDescent="0.25">
      <c r="A9" t="s">
        <v>128</v>
      </c>
      <c r="B9" t="s">
        <v>6</v>
      </c>
      <c r="C9">
        <v>2009</v>
      </c>
      <c r="D9">
        <v>8.4</v>
      </c>
      <c r="E9" t="s">
        <v>117</v>
      </c>
      <c r="F9">
        <v>1</v>
      </c>
    </row>
    <row r="10" spans="1:6" x14ac:dyDescent="0.25">
      <c r="A10" t="s">
        <v>129</v>
      </c>
      <c r="B10" t="s">
        <v>6</v>
      </c>
      <c r="C10">
        <v>2001</v>
      </c>
      <c r="D10">
        <v>7.4</v>
      </c>
      <c r="E10" t="s">
        <v>12</v>
      </c>
      <c r="F10">
        <v>1</v>
      </c>
    </row>
    <row r="11" spans="1:6" x14ac:dyDescent="0.25">
      <c r="A11" t="s">
        <v>130</v>
      </c>
      <c r="B11" t="s">
        <v>6</v>
      </c>
      <c r="C11">
        <v>2015</v>
      </c>
      <c r="D11">
        <v>7.2</v>
      </c>
      <c r="F11">
        <v>1</v>
      </c>
    </row>
    <row r="12" spans="1:6" x14ac:dyDescent="0.25">
      <c r="A12" t="s">
        <v>131</v>
      </c>
      <c r="B12" t="s">
        <v>7</v>
      </c>
      <c r="C12">
        <v>1994</v>
      </c>
      <c r="D12">
        <v>9.3000000000000007</v>
      </c>
      <c r="E12" t="s">
        <v>13</v>
      </c>
      <c r="F12">
        <v>5</v>
      </c>
    </row>
    <row r="13" spans="1:6" x14ac:dyDescent="0.25">
      <c r="A13" t="s">
        <v>132</v>
      </c>
      <c r="B13" t="s">
        <v>7</v>
      </c>
      <c r="C13">
        <v>2010</v>
      </c>
      <c r="D13">
        <v>8.8000000000000007</v>
      </c>
      <c r="E13" t="s">
        <v>14</v>
      </c>
      <c r="F13">
        <v>5</v>
      </c>
    </row>
    <row r="14" spans="1:6" x14ac:dyDescent="0.25">
      <c r="A14" t="s">
        <v>133</v>
      </c>
      <c r="B14" t="s">
        <v>7</v>
      </c>
      <c r="C14">
        <v>2014</v>
      </c>
      <c r="D14">
        <v>8.6</v>
      </c>
      <c r="E14" t="s">
        <v>14</v>
      </c>
      <c r="F14">
        <v>5</v>
      </c>
    </row>
    <row r="15" spans="1:6" x14ac:dyDescent="0.25">
      <c r="A15" t="s">
        <v>134</v>
      </c>
      <c r="B15" t="s">
        <v>7</v>
      </c>
      <c r="C15">
        <v>2006</v>
      </c>
      <c r="D15">
        <v>8</v>
      </c>
      <c r="E15" t="s">
        <v>15</v>
      </c>
      <c r="F15">
        <v>5</v>
      </c>
    </row>
    <row r="16" spans="1:6" x14ac:dyDescent="0.25">
      <c r="A16" t="s">
        <v>135</v>
      </c>
      <c r="B16" t="s">
        <v>7</v>
      </c>
      <c r="C16">
        <v>2000</v>
      </c>
      <c r="D16">
        <v>8.5</v>
      </c>
      <c r="E16" t="s">
        <v>16</v>
      </c>
      <c r="F16">
        <v>5</v>
      </c>
    </row>
    <row r="17" spans="1:6" x14ac:dyDescent="0.25">
      <c r="A17" t="s">
        <v>136</v>
      </c>
      <c r="B17" t="s">
        <v>7</v>
      </c>
      <c r="C17">
        <v>1997</v>
      </c>
      <c r="D17">
        <v>7.9</v>
      </c>
      <c r="E17" t="s">
        <v>17</v>
      </c>
      <c r="F17">
        <v>5</v>
      </c>
    </row>
    <row r="18" spans="1:6" x14ac:dyDescent="0.25">
      <c r="A18" t="s">
        <v>137</v>
      </c>
      <c r="B18" t="s">
        <v>7</v>
      </c>
      <c r="C18">
        <v>1946</v>
      </c>
      <c r="D18">
        <v>8.6</v>
      </c>
      <c r="E18" t="s">
        <v>18</v>
      </c>
      <c r="F18">
        <v>5</v>
      </c>
    </row>
    <row r="19" spans="1:6" x14ac:dyDescent="0.25">
      <c r="A19" t="s">
        <v>138</v>
      </c>
      <c r="B19" t="s">
        <v>7</v>
      </c>
      <c r="C19">
        <v>2009</v>
      </c>
      <c r="D19">
        <v>7.8</v>
      </c>
      <c r="E19" t="s">
        <v>19</v>
      </c>
      <c r="F19">
        <v>5</v>
      </c>
    </row>
    <row r="20" spans="1:6" x14ac:dyDescent="0.25">
      <c r="A20" t="s">
        <v>139</v>
      </c>
      <c r="B20" t="s">
        <v>7</v>
      </c>
      <c r="C20">
        <v>1972</v>
      </c>
      <c r="D20">
        <v>9.1999999999999993</v>
      </c>
      <c r="E20" t="s">
        <v>119</v>
      </c>
      <c r="F20">
        <v>5</v>
      </c>
    </row>
    <row r="21" spans="1:6" x14ac:dyDescent="0.25">
      <c r="A21" t="s">
        <v>140</v>
      </c>
      <c r="B21" t="s">
        <v>7</v>
      </c>
      <c r="C21">
        <v>2008</v>
      </c>
      <c r="D21">
        <v>9</v>
      </c>
      <c r="E21" t="s">
        <v>20</v>
      </c>
      <c r="F21">
        <v>5</v>
      </c>
    </row>
    <row r="22" spans="1:6" x14ac:dyDescent="0.25">
      <c r="A22" t="s">
        <v>141</v>
      </c>
      <c r="B22" t="s">
        <v>7</v>
      </c>
      <c r="C22">
        <v>1993</v>
      </c>
      <c r="D22">
        <v>9</v>
      </c>
      <c r="E22" t="s">
        <v>21</v>
      </c>
      <c r="F22">
        <v>5</v>
      </c>
    </row>
    <row r="23" spans="1:6" x14ac:dyDescent="0.25">
      <c r="A23" t="s">
        <v>142</v>
      </c>
      <c r="B23" t="s">
        <v>7</v>
      </c>
      <c r="C23">
        <v>1993</v>
      </c>
      <c r="D23">
        <v>8.1999999999999993</v>
      </c>
      <c r="E23" t="s">
        <v>21</v>
      </c>
      <c r="F23">
        <v>5</v>
      </c>
    </row>
    <row r="24" spans="1:6" x14ac:dyDescent="0.25">
      <c r="A24" t="s">
        <v>143</v>
      </c>
      <c r="B24" t="s">
        <v>7</v>
      </c>
      <c r="C24">
        <v>2019</v>
      </c>
      <c r="D24">
        <v>8.5</v>
      </c>
      <c r="F24">
        <v>5</v>
      </c>
    </row>
    <row r="25" spans="1:6" x14ac:dyDescent="0.25">
      <c r="A25" t="s">
        <v>144</v>
      </c>
      <c r="B25" t="s">
        <v>7</v>
      </c>
      <c r="C25">
        <v>2019</v>
      </c>
      <c r="D25">
        <v>8.4</v>
      </c>
      <c r="E25" t="s">
        <v>8</v>
      </c>
      <c r="F25">
        <v>5</v>
      </c>
    </row>
    <row r="26" spans="1:6" x14ac:dyDescent="0.25">
      <c r="A26" t="s">
        <v>145</v>
      </c>
      <c r="B26" t="s">
        <v>7</v>
      </c>
      <c r="C26">
        <v>2018</v>
      </c>
      <c r="D26">
        <v>8.4</v>
      </c>
      <c r="E26" t="s">
        <v>8</v>
      </c>
      <c r="F26">
        <v>5</v>
      </c>
    </row>
    <row r="27" spans="1:6" x14ac:dyDescent="0.25">
      <c r="A27" t="s">
        <v>146</v>
      </c>
      <c r="B27" t="s">
        <v>6</v>
      </c>
      <c r="C27">
        <v>1955</v>
      </c>
      <c r="D27">
        <v>8.3000000000000007</v>
      </c>
      <c r="E27" t="s">
        <v>120</v>
      </c>
      <c r="F27">
        <v>7</v>
      </c>
    </row>
    <row r="28" spans="1:6" x14ac:dyDescent="0.25">
      <c r="A28" t="s">
        <v>147</v>
      </c>
      <c r="B28" t="s">
        <v>6</v>
      </c>
      <c r="C28">
        <v>2007</v>
      </c>
      <c r="D28">
        <v>8.3000000000000007</v>
      </c>
      <c r="F28">
        <v>1</v>
      </c>
    </row>
    <row r="29" spans="1:6" x14ac:dyDescent="0.25">
      <c r="A29" t="s">
        <v>148</v>
      </c>
      <c r="B29" t="s">
        <v>6</v>
      </c>
      <c r="C29">
        <v>2003</v>
      </c>
      <c r="D29">
        <v>8.1</v>
      </c>
      <c r="E29" t="s">
        <v>22</v>
      </c>
      <c r="F29">
        <v>1</v>
      </c>
    </row>
    <row r="30" spans="1:6" x14ac:dyDescent="0.25">
      <c r="A30" t="s">
        <v>143</v>
      </c>
      <c r="B30" t="s">
        <v>7</v>
      </c>
      <c r="C30">
        <v>2019</v>
      </c>
      <c r="D30">
        <v>8.5</v>
      </c>
      <c r="F30">
        <v>5</v>
      </c>
    </row>
    <row r="31" spans="1:6" x14ac:dyDescent="0.25">
      <c r="A31" t="s">
        <v>125</v>
      </c>
      <c r="B31" t="s">
        <v>7</v>
      </c>
      <c r="C31">
        <v>2022</v>
      </c>
      <c r="D31">
        <v>6.8</v>
      </c>
      <c r="E31" t="s">
        <v>8</v>
      </c>
      <c r="F31">
        <v>5</v>
      </c>
    </row>
    <row r="32" spans="1:6" x14ac:dyDescent="0.25">
      <c r="A32" t="s">
        <v>149</v>
      </c>
      <c r="B32" t="s">
        <v>6</v>
      </c>
      <c r="C32">
        <v>2014</v>
      </c>
      <c r="D32">
        <v>8.1</v>
      </c>
      <c r="E32" t="s">
        <v>11</v>
      </c>
      <c r="F32">
        <v>1</v>
      </c>
    </row>
    <row r="33" spans="1:6" x14ac:dyDescent="0.25">
      <c r="A33" t="s">
        <v>150</v>
      </c>
      <c r="B33" t="s">
        <v>6</v>
      </c>
      <c r="C33">
        <v>2018</v>
      </c>
      <c r="D33" t="s">
        <v>114</v>
      </c>
      <c r="E33" t="s">
        <v>11</v>
      </c>
      <c r="F33">
        <v>1</v>
      </c>
    </row>
    <row r="34" spans="1:6" x14ac:dyDescent="0.25">
      <c r="A34" t="s">
        <v>151</v>
      </c>
      <c r="B34" t="s">
        <v>6</v>
      </c>
      <c r="C34">
        <v>2021</v>
      </c>
      <c r="D34">
        <v>7.6</v>
      </c>
      <c r="E34" t="s">
        <v>23</v>
      </c>
      <c r="F34">
        <v>2</v>
      </c>
    </row>
    <row r="35" spans="1:6" x14ac:dyDescent="0.25">
      <c r="A35" t="s">
        <v>152</v>
      </c>
      <c r="B35" t="s">
        <v>6</v>
      </c>
      <c r="C35">
        <v>2022</v>
      </c>
      <c r="D35">
        <v>8</v>
      </c>
      <c r="E35" t="s">
        <v>24</v>
      </c>
      <c r="F35">
        <v>2</v>
      </c>
    </row>
    <row r="36" spans="1:6" x14ac:dyDescent="0.25">
      <c r="A36" t="s">
        <v>153</v>
      </c>
      <c r="B36" t="s">
        <v>6</v>
      </c>
      <c r="C36">
        <v>2015</v>
      </c>
      <c r="D36">
        <v>8</v>
      </c>
      <c r="E36" t="s">
        <v>25</v>
      </c>
      <c r="F36">
        <v>2</v>
      </c>
    </row>
    <row r="37" spans="1:6" x14ac:dyDescent="0.25">
      <c r="A37" t="s">
        <v>154</v>
      </c>
      <c r="B37" t="s">
        <v>6</v>
      </c>
      <c r="C37">
        <v>2022</v>
      </c>
      <c r="D37">
        <v>8.3000000000000007</v>
      </c>
      <c r="E37" t="s">
        <v>26</v>
      </c>
      <c r="F37">
        <v>1</v>
      </c>
    </row>
    <row r="38" spans="1:6" x14ac:dyDescent="0.25">
      <c r="A38" t="s">
        <v>155</v>
      </c>
      <c r="B38" t="s">
        <v>6</v>
      </c>
      <c r="C38">
        <v>2015</v>
      </c>
      <c r="D38">
        <v>8.1</v>
      </c>
      <c r="E38" t="s">
        <v>27</v>
      </c>
      <c r="F38">
        <v>1</v>
      </c>
    </row>
    <row r="39" spans="1:6" x14ac:dyDescent="0.25">
      <c r="A39" t="s">
        <v>156</v>
      </c>
      <c r="B39" t="s">
        <v>7</v>
      </c>
      <c r="C39">
        <v>2011</v>
      </c>
      <c r="D39">
        <v>6.9</v>
      </c>
      <c r="E39" t="s">
        <v>8</v>
      </c>
      <c r="F39">
        <v>5</v>
      </c>
    </row>
    <row r="40" spans="1:6" x14ac:dyDescent="0.25">
      <c r="A40" t="s">
        <v>157</v>
      </c>
      <c r="B40" t="s">
        <v>7</v>
      </c>
      <c r="C40">
        <v>2014</v>
      </c>
      <c r="D40">
        <v>7.8</v>
      </c>
      <c r="E40" t="s">
        <v>8</v>
      </c>
      <c r="F40">
        <v>5</v>
      </c>
    </row>
    <row r="41" spans="1:6" x14ac:dyDescent="0.25">
      <c r="A41" t="s">
        <v>158</v>
      </c>
      <c r="B41" t="s">
        <v>6</v>
      </c>
      <c r="C41">
        <v>2018</v>
      </c>
      <c r="D41">
        <v>1.9</v>
      </c>
      <c r="E41" t="s">
        <v>27</v>
      </c>
      <c r="F41">
        <v>1</v>
      </c>
    </row>
    <row r="42" spans="1:6" x14ac:dyDescent="0.25">
      <c r="A42" t="s">
        <v>159</v>
      </c>
      <c r="B42" t="s">
        <v>6</v>
      </c>
      <c r="C42">
        <v>2021</v>
      </c>
      <c r="D42">
        <v>8.4</v>
      </c>
      <c r="E42" t="s">
        <v>12</v>
      </c>
      <c r="F42">
        <v>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zoomScale="160" zoomScaleNormal="160" workbookViewId="0">
      <selection activeCell="B10" sqref="B10"/>
    </sheetView>
  </sheetViews>
  <sheetFormatPr defaultRowHeight="15" x14ac:dyDescent="0.25"/>
  <cols>
    <col min="1" max="1" width="9.85546875" customWidth="1"/>
    <col min="5" max="5" width="9.42578125" customWidth="1"/>
  </cols>
  <sheetData>
    <row r="1" spans="1:5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>
        <v>101</v>
      </c>
      <c r="B2">
        <v>1</v>
      </c>
      <c r="C2">
        <v>12.5</v>
      </c>
      <c r="D2" t="s">
        <v>32</v>
      </c>
      <c r="E2" t="s">
        <v>33</v>
      </c>
    </row>
    <row r="3" spans="1:5" x14ac:dyDescent="0.25">
      <c r="A3">
        <v>102</v>
      </c>
      <c r="B3">
        <v>200</v>
      </c>
      <c r="C3">
        <v>954.8</v>
      </c>
      <c r="D3" t="s">
        <v>34</v>
      </c>
      <c r="E3" t="s">
        <v>35</v>
      </c>
    </row>
    <row r="4" spans="1:5" x14ac:dyDescent="0.25">
      <c r="A4">
        <v>103</v>
      </c>
      <c r="B4">
        <v>165</v>
      </c>
      <c r="C4">
        <v>644.79999999999995</v>
      </c>
      <c r="D4" t="s">
        <v>34</v>
      </c>
      <c r="E4" t="s">
        <v>35</v>
      </c>
    </row>
    <row r="5" spans="1:5" x14ac:dyDescent="0.25">
      <c r="A5">
        <v>104</v>
      </c>
      <c r="B5">
        <v>180</v>
      </c>
      <c r="C5">
        <v>854</v>
      </c>
      <c r="D5" t="s">
        <v>34</v>
      </c>
      <c r="E5" t="s">
        <v>35</v>
      </c>
    </row>
    <row r="6" spans="1:5" x14ac:dyDescent="0.25">
      <c r="A6">
        <v>105</v>
      </c>
      <c r="B6">
        <v>250</v>
      </c>
      <c r="C6">
        <v>670</v>
      </c>
      <c r="D6" t="s">
        <v>34</v>
      </c>
      <c r="E6" t="s">
        <v>35</v>
      </c>
    </row>
    <row r="7" spans="1:5" x14ac:dyDescent="0.25">
      <c r="A7">
        <v>107</v>
      </c>
      <c r="B7">
        <v>400</v>
      </c>
      <c r="C7">
        <v>2000</v>
      </c>
      <c r="D7" t="s">
        <v>34</v>
      </c>
      <c r="E7" t="s">
        <v>33</v>
      </c>
    </row>
    <row r="8" spans="1:5" x14ac:dyDescent="0.25">
      <c r="A8">
        <v>108</v>
      </c>
      <c r="B8">
        <v>550</v>
      </c>
      <c r="C8">
        <v>4000</v>
      </c>
      <c r="D8" t="s">
        <v>34</v>
      </c>
      <c r="E8" t="s">
        <v>33</v>
      </c>
    </row>
    <row r="9" spans="1:5" x14ac:dyDescent="0.25">
      <c r="A9">
        <v>109</v>
      </c>
      <c r="B9">
        <v>390</v>
      </c>
      <c r="C9">
        <v>1360</v>
      </c>
      <c r="D9" t="s">
        <v>34</v>
      </c>
      <c r="E9" t="s">
        <v>33</v>
      </c>
    </row>
    <row r="10" spans="1:5" x14ac:dyDescent="0.25">
      <c r="A10">
        <v>110</v>
      </c>
      <c r="B10">
        <v>1.4</v>
      </c>
      <c r="C10">
        <v>3.5</v>
      </c>
      <c r="D10" t="s">
        <v>32</v>
      </c>
      <c r="E10" t="s">
        <v>33</v>
      </c>
    </row>
    <row r="11" spans="1:5" x14ac:dyDescent="0.25">
      <c r="A11">
        <v>111</v>
      </c>
      <c r="B11">
        <v>25</v>
      </c>
      <c r="C11">
        <v>73.3</v>
      </c>
      <c r="D11" t="s">
        <v>34</v>
      </c>
      <c r="E11" t="s">
        <v>35</v>
      </c>
    </row>
    <row r="12" spans="1:5" x14ac:dyDescent="0.25">
      <c r="A12">
        <v>113</v>
      </c>
      <c r="B12">
        <v>165</v>
      </c>
      <c r="C12">
        <v>701.8</v>
      </c>
      <c r="D12" t="s">
        <v>34</v>
      </c>
      <c r="E12" t="s">
        <v>35</v>
      </c>
    </row>
    <row r="13" spans="1:5" x14ac:dyDescent="0.25">
      <c r="A13">
        <v>114</v>
      </c>
      <c r="B13">
        <v>205</v>
      </c>
      <c r="C13">
        <v>365.3</v>
      </c>
      <c r="D13" t="s">
        <v>34</v>
      </c>
      <c r="E13" t="s">
        <v>35</v>
      </c>
    </row>
    <row r="14" spans="1:5" x14ac:dyDescent="0.25">
      <c r="A14">
        <v>115</v>
      </c>
      <c r="B14">
        <v>55</v>
      </c>
      <c r="C14">
        <v>307.10000000000002</v>
      </c>
      <c r="D14" t="s">
        <v>34</v>
      </c>
      <c r="E14" t="s">
        <v>35</v>
      </c>
    </row>
    <row r="15" spans="1:5" x14ac:dyDescent="0.25">
      <c r="A15">
        <v>116</v>
      </c>
      <c r="B15">
        <v>103</v>
      </c>
      <c r="C15">
        <v>460.5</v>
      </c>
      <c r="D15" t="s">
        <v>34</v>
      </c>
      <c r="E15" t="s">
        <v>35</v>
      </c>
    </row>
    <row r="16" spans="1:5" x14ac:dyDescent="0.25">
      <c r="A16">
        <v>117</v>
      </c>
      <c r="B16">
        <v>200</v>
      </c>
      <c r="C16">
        <v>2202</v>
      </c>
      <c r="D16" t="s">
        <v>34</v>
      </c>
      <c r="E16" t="s">
        <v>35</v>
      </c>
    </row>
    <row r="17" spans="1:5" x14ac:dyDescent="0.25">
      <c r="A17">
        <v>118</v>
      </c>
      <c r="B17">
        <v>3.18</v>
      </c>
      <c r="C17">
        <v>3.3</v>
      </c>
      <c r="D17" t="s">
        <v>34</v>
      </c>
      <c r="E17" t="s">
        <v>35</v>
      </c>
    </row>
    <row r="18" spans="1:5" x14ac:dyDescent="0.25">
      <c r="A18">
        <v>119</v>
      </c>
      <c r="B18">
        <v>237</v>
      </c>
      <c r="C18">
        <v>2847</v>
      </c>
      <c r="D18" t="s">
        <v>34</v>
      </c>
      <c r="E18" t="s">
        <v>35</v>
      </c>
    </row>
    <row r="19" spans="1:5" x14ac:dyDescent="0.25">
      <c r="A19">
        <v>120</v>
      </c>
      <c r="B19">
        <v>7.2</v>
      </c>
      <c r="C19">
        <v>291</v>
      </c>
      <c r="D19" t="s">
        <v>34</v>
      </c>
      <c r="E19" t="s">
        <v>35</v>
      </c>
    </row>
    <row r="20" spans="1:5" x14ac:dyDescent="0.25">
      <c r="A20">
        <v>121</v>
      </c>
      <c r="B20">
        <v>185</v>
      </c>
      <c r="C20">
        <v>1006</v>
      </c>
      <c r="D20" t="s">
        <v>34</v>
      </c>
      <c r="E20" t="s">
        <v>35</v>
      </c>
    </row>
    <row r="21" spans="1:5" x14ac:dyDescent="0.25">
      <c r="A21">
        <v>122</v>
      </c>
      <c r="B21">
        <v>22</v>
      </c>
      <c r="C21">
        <v>322.2</v>
      </c>
      <c r="D21" t="s">
        <v>34</v>
      </c>
      <c r="E21" t="s">
        <v>35</v>
      </c>
    </row>
    <row r="22" spans="1:5" x14ac:dyDescent="0.25">
      <c r="A22">
        <v>123</v>
      </c>
      <c r="B22">
        <v>63</v>
      </c>
      <c r="C22">
        <v>1046</v>
      </c>
      <c r="D22" t="s">
        <v>34</v>
      </c>
      <c r="E22" t="s">
        <v>35</v>
      </c>
    </row>
    <row r="23" spans="1:5" x14ac:dyDescent="0.25">
      <c r="A23">
        <v>124</v>
      </c>
      <c r="B23">
        <v>15.5</v>
      </c>
      <c r="C23">
        <v>263.10000000000002</v>
      </c>
      <c r="D23" t="s">
        <v>34</v>
      </c>
      <c r="E23" t="s">
        <v>35</v>
      </c>
    </row>
    <row r="24" spans="1:5" x14ac:dyDescent="0.25">
      <c r="A24">
        <v>125</v>
      </c>
      <c r="B24">
        <v>400</v>
      </c>
      <c r="C24">
        <v>2798</v>
      </c>
      <c r="D24" t="s">
        <v>34</v>
      </c>
      <c r="E24" t="s">
        <v>35</v>
      </c>
    </row>
    <row r="25" spans="1:5" x14ac:dyDescent="0.25">
      <c r="A25">
        <v>126</v>
      </c>
      <c r="B25">
        <v>400</v>
      </c>
      <c r="C25">
        <v>2048</v>
      </c>
      <c r="D25" t="s">
        <v>34</v>
      </c>
      <c r="E25" t="s">
        <v>35</v>
      </c>
    </row>
    <row r="26" spans="1:5" x14ac:dyDescent="0.25">
      <c r="A26">
        <v>127</v>
      </c>
      <c r="B26">
        <v>70</v>
      </c>
      <c r="C26">
        <v>100</v>
      </c>
      <c r="D26" t="s">
        <v>34</v>
      </c>
      <c r="E26" t="s">
        <v>33</v>
      </c>
    </row>
    <row r="27" spans="1:5" x14ac:dyDescent="0.25">
      <c r="A27">
        <v>128</v>
      </c>
      <c r="B27">
        <v>120</v>
      </c>
      <c r="C27">
        <v>1350</v>
      </c>
      <c r="D27" t="s">
        <v>34</v>
      </c>
      <c r="E27" t="s">
        <v>33</v>
      </c>
    </row>
    <row r="28" spans="1:5" x14ac:dyDescent="0.25">
      <c r="A28">
        <v>129</v>
      </c>
      <c r="B28">
        <v>100</v>
      </c>
      <c r="C28">
        <v>410</v>
      </c>
      <c r="D28" t="s">
        <v>34</v>
      </c>
      <c r="E28" t="s">
        <v>33</v>
      </c>
    </row>
    <row r="29" spans="1:5" x14ac:dyDescent="0.25">
      <c r="A29">
        <v>130</v>
      </c>
      <c r="B29">
        <v>850</v>
      </c>
      <c r="C29">
        <v>8540</v>
      </c>
      <c r="D29" t="s">
        <v>34</v>
      </c>
      <c r="E29" t="s">
        <v>33</v>
      </c>
    </row>
    <row r="30" spans="1:5" x14ac:dyDescent="0.25">
      <c r="A30">
        <v>131</v>
      </c>
      <c r="B30">
        <v>1</v>
      </c>
      <c r="C30">
        <v>5.9</v>
      </c>
      <c r="D30" t="s">
        <v>32</v>
      </c>
      <c r="E30" t="s">
        <v>33</v>
      </c>
    </row>
    <row r="31" spans="1:5" x14ac:dyDescent="0.25">
      <c r="A31">
        <v>132</v>
      </c>
      <c r="B31">
        <v>2</v>
      </c>
      <c r="C31">
        <v>3.6</v>
      </c>
      <c r="D31" t="s">
        <v>32</v>
      </c>
      <c r="E31" t="s">
        <v>33</v>
      </c>
    </row>
    <row r="32" spans="1:5" x14ac:dyDescent="0.25">
      <c r="A32">
        <v>133</v>
      </c>
      <c r="B32">
        <v>5.5</v>
      </c>
      <c r="C32">
        <v>12</v>
      </c>
      <c r="D32" t="s">
        <v>32</v>
      </c>
      <c r="E32" t="s">
        <v>33</v>
      </c>
    </row>
    <row r="33" spans="1:5" x14ac:dyDescent="0.25">
      <c r="A33">
        <v>134</v>
      </c>
      <c r="B33">
        <v>1.8</v>
      </c>
      <c r="C33">
        <v>6.5</v>
      </c>
      <c r="D33" t="s">
        <v>32</v>
      </c>
      <c r="E33" t="s">
        <v>33</v>
      </c>
    </row>
    <row r="34" spans="1:5" x14ac:dyDescent="0.25">
      <c r="A34">
        <v>135</v>
      </c>
      <c r="B34">
        <v>250</v>
      </c>
      <c r="C34">
        <v>3409</v>
      </c>
      <c r="D34" t="s">
        <v>34</v>
      </c>
      <c r="E34" t="s">
        <v>33</v>
      </c>
    </row>
    <row r="35" spans="1:5" x14ac:dyDescent="0.25">
      <c r="A35">
        <v>136</v>
      </c>
      <c r="B35">
        <v>900</v>
      </c>
      <c r="C35">
        <v>11690</v>
      </c>
      <c r="D35" t="s">
        <v>34</v>
      </c>
      <c r="E35" t="s">
        <v>33</v>
      </c>
    </row>
    <row r="36" spans="1:5" x14ac:dyDescent="0.25">
      <c r="A36">
        <v>137</v>
      </c>
      <c r="B36">
        <v>216.7</v>
      </c>
      <c r="C36">
        <v>370.6</v>
      </c>
      <c r="D36" t="s">
        <v>34</v>
      </c>
      <c r="E36" t="s">
        <v>35</v>
      </c>
    </row>
    <row r="37" spans="1:5" x14ac:dyDescent="0.25">
      <c r="A37">
        <v>138</v>
      </c>
      <c r="B37">
        <v>177</v>
      </c>
      <c r="C37">
        <v>714.4</v>
      </c>
      <c r="D37" t="s">
        <v>34</v>
      </c>
      <c r="E37" t="s">
        <v>35</v>
      </c>
    </row>
    <row r="38" spans="1:5" x14ac:dyDescent="0.25">
      <c r="A38">
        <v>139</v>
      </c>
      <c r="B38">
        <v>1.8</v>
      </c>
      <c r="C38">
        <v>3.1</v>
      </c>
      <c r="D38" t="s">
        <v>32</v>
      </c>
      <c r="E38" t="s">
        <v>33</v>
      </c>
    </row>
    <row r="39" spans="1:5" x14ac:dyDescent="0.25">
      <c r="A39">
        <v>140</v>
      </c>
      <c r="B39">
        <v>500</v>
      </c>
      <c r="C39">
        <v>950</v>
      </c>
      <c r="D39" t="s">
        <v>34</v>
      </c>
      <c r="E39" t="s">
        <v>33</v>
      </c>
    </row>
    <row r="40" spans="1:5" x14ac:dyDescent="0.25">
      <c r="A40">
        <v>406</v>
      </c>
      <c r="B40">
        <v>30</v>
      </c>
      <c r="C40">
        <v>350</v>
      </c>
      <c r="D40" t="s">
        <v>34</v>
      </c>
      <c r="E40" t="s">
        <v>33</v>
      </c>
    </row>
    <row r="41" spans="1:5" x14ac:dyDescent="0.25">
      <c r="A41">
        <v>412</v>
      </c>
      <c r="B41">
        <v>160</v>
      </c>
      <c r="C41">
        <v>836.8</v>
      </c>
      <c r="D41" t="s">
        <v>34</v>
      </c>
      <c r="E41" t="s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topLeftCell="A2" zoomScale="160" zoomScaleNormal="160" workbookViewId="0">
      <selection activeCell="A12" sqref="A12"/>
    </sheetView>
  </sheetViews>
  <sheetFormatPr defaultRowHeight="15" x14ac:dyDescent="0.25"/>
  <cols>
    <col min="2" max="2" width="26.42578125" customWidth="1"/>
    <col min="3" max="3" width="10.85546875" customWidth="1"/>
  </cols>
  <sheetData>
    <row r="1" spans="1:3" x14ac:dyDescent="0.25">
      <c r="A1" s="2" t="s">
        <v>36</v>
      </c>
      <c r="B1" s="2" t="s">
        <v>37</v>
      </c>
      <c r="C1" s="2" t="s">
        <v>38</v>
      </c>
    </row>
    <row r="2" spans="1:3" x14ac:dyDescent="0.25">
      <c r="A2">
        <v>50</v>
      </c>
      <c r="B2" t="s">
        <v>39</v>
      </c>
      <c r="C2">
        <v>1986</v>
      </c>
    </row>
    <row r="3" spans="1:3" x14ac:dyDescent="0.25">
      <c r="A3">
        <v>51</v>
      </c>
      <c r="B3" t="s">
        <v>40</v>
      </c>
      <c r="C3">
        <v>1959</v>
      </c>
    </row>
    <row r="4" spans="1:3" x14ac:dyDescent="0.25">
      <c r="A4">
        <v>52</v>
      </c>
      <c r="B4" t="s">
        <v>41</v>
      </c>
      <c r="C4">
        <v>1976</v>
      </c>
    </row>
    <row r="5" spans="1:3" x14ac:dyDescent="0.25">
      <c r="A5">
        <v>53</v>
      </c>
      <c r="B5" t="s">
        <v>42</v>
      </c>
      <c r="C5">
        <v>1989</v>
      </c>
    </row>
    <row r="6" spans="1:3" x14ac:dyDescent="0.25">
      <c r="A6">
        <v>54</v>
      </c>
      <c r="B6" t="s">
        <v>43</v>
      </c>
      <c r="C6">
        <v>1983</v>
      </c>
    </row>
    <row r="7" spans="1:3" x14ac:dyDescent="0.25">
      <c r="A7">
        <v>55</v>
      </c>
      <c r="B7" t="s">
        <v>44</v>
      </c>
      <c r="C7">
        <v>1981</v>
      </c>
    </row>
    <row r="8" spans="1:3" x14ac:dyDescent="0.25">
      <c r="A8">
        <v>56</v>
      </c>
      <c r="B8" t="s">
        <v>45</v>
      </c>
      <c r="C8">
        <v>1981</v>
      </c>
    </row>
    <row r="9" spans="1:3" x14ac:dyDescent="0.25">
      <c r="A9">
        <v>57</v>
      </c>
      <c r="B9" t="s">
        <v>46</v>
      </c>
      <c r="C9">
        <v>1942</v>
      </c>
    </row>
    <row r="10" spans="1:3" x14ac:dyDescent="0.25">
      <c r="A10">
        <v>58</v>
      </c>
      <c r="B10" t="s">
        <v>47</v>
      </c>
      <c r="C10">
        <v>1948</v>
      </c>
    </row>
    <row r="11" spans="1:3" x14ac:dyDescent="0.25">
      <c r="A11">
        <v>59</v>
      </c>
      <c r="B11" t="s">
        <v>48</v>
      </c>
      <c r="C11">
        <v>1965</v>
      </c>
    </row>
    <row r="12" spans="1:3" x14ac:dyDescent="0.25">
      <c r="A12">
        <v>60</v>
      </c>
      <c r="B12" t="s">
        <v>49</v>
      </c>
      <c r="C12">
        <v>1974</v>
      </c>
    </row>
    <row r="13" spans="1:3" x14ac:dyDescent="0.25">
      <c r="A13">
        <v>61</v>
      </c>
      <c r="B13" t="s">
        <v>50</v>
      </c>
      <c r="C13">
        <v>1965</v>
      </c>
    </row>
    <row r="14" spans="1:3" x14ac:dyDescent="0.25">
      <c r="A14">
        <v>62</v>
      </c>
      <c r="B14" t="s">
        <v>51</v>
      </c>
      <c r="C14">
        <v>1970</v>
      </c>
    </row>
    <row r="15" spans="1:3" x14ac:dyDescent="0.25">
      <c r="A15">
        <v>63</v>
      </c>
      <c r="B15" t="s">
        <v>52</v>
      </c>
      <c r="C15">
        <v>1979</v>
      </c>
    </row>
    <row r="16" spans="1:3" x14ac:dyDescent="0.25">
      <c r="A16">
        <v>64</v>
      </c>
      <c r="B16" t="s">
        <v>53</v>
      </c>
      <c r="C16">
        <v>1974</v>
      </c>
    </row>
    <row r="17" spans="1:3" x14ac:dyDescent="0.25">
      <c r="A17">
        <v>65</v>
      </c>
      <c r="B17" t="s">
        <v>54</v>
      </c>
      <c r="C17">
        <v>1985</v>
      </c>
    </row>
    <row r="18" spans="1:3" x14ac:dyDescent="0.25">
      <c r="A18">
        <v>66</v>
      </c>
      <c r="B18" t="s">
        <v>55</v>
      </c>
      <c r="C18">
        <v>1986</v>
      </c>
    </row>
    <row r="19" spans="1:3" x14ac:dyDescent="0.25">
      <c r="A19">
        <v>67</v>
      </c>
      <c r="B19" t="s">
        <v>56</v>
      </c>
      <c r="C19">
        <v>1958</v>
      </c>
    </row>
    <row r="20" spans="1:3" x14ac:dyDescent="0.25">
      <c r="A20">
        <v>68</v>
      </c>
      <c r="B20" t="s">
        <v>57</v>
      </c>
      <c r="C20">
        <v>1937</v>
      </c>
    </row>
    <row r="21" spans="1:3" x14ac:dyDescent="0.25">
      <c r="A21">
        <v>69</v>
      </c>
      <c r="B21" t="s">
        <v>58</v>
      </c>
      <c r="C21">
        <v>1974</v>
      </c>
    </row>
    <row r="22" spans="1:3" x14ac:dyDescent="0.25">
      <c r="A22">
        <v>70</v>
      </c>
      <c r="B22" t="s">
        <v>59</v>
      </c>
      <c r="C22">
        <v>1959</v>
      </c>
    </row>
    <row r="23" spans="1:3" x14ac:dyDescent="0.25">
      <c r="A23">
        <v>71</v>
      </c>
      <c r="B23" t="s">
        <v>60</v>
      </c>
      <c r="C23">
        <v>1969</v>
      </c>
    </row>
    <row r="24" spans="1:3" x14ac:dyDescent="0.25">
      <c r="A24">
        <v>72</v>
      </c>
      <c r="B24" t="s">
        <v>61</v>
      </c>
      <c r="C24">
        <v>1982</v>
      </c>
    </row>
    <row r="25" spans="1:3" x14ac:dyDescent="0.25">
      <c r="A25">
        <v>73</v>
      </c>
      <c r="B25" t="s">
        <v>62</v>
      </c>
      <c r="C25">
        <v>1984</v>
      </c>
    </row>
    <row r="26" spans="1:3" x14ac:dyDescent="0.25">
      <c r="A26">
        <v>74</v>
      </c>
      <c r="B26" t="s">
        <v>63</v>
      </c>
      <c r="C26">
        <v>1986</v>
      </c>
    </row>
    <row r="27" spans="1:3" x14ac:dyDescent="0.25">
      <c r="A27">
        <v>75</v>
      </c>
      <c r="B27" t="s">
        <v>64</v>
      </c>
      <c r="C27">
        <v>1968</v>
      </c>
    </row>
    <row r="28" spans="1:3" x14ac:dyDescent="0.25">
      <c r="A28">
        <v>76</v>
      </c>
      <c r="B28" t="s">
        <v>65</v>
      </c>
      <c r="C28">
        <v>1972</v>
      </c>
    </row>
    <row r="29" spans="1:3" x14ac:dyDescent="0.25">
      <c r="A29">
        <v>77</v>
      </c>
      <c r="B29" t="s">
        <v>66</v>
      </c>
      <c r="C29">
        <v>1964</v>
      </c>
    </row>
    <row r="30" spans="1:3" x14ac:dyDescent="0.25">
      <c r="A30">
        <v>78</v>
      </c>
      <c r="B30" t="s">
        <v>67</v>
      </c>
      <c r="C30">
        <v>1974</v>
      </c>
    </row>
    <row r="31" spans="1:3" x14ac:dyDescent="0.25">
      <c r="A31">
        <v>79</v>
      </c>
      <c r="B31" t="s">
        <v>68</v>
      </c>
      <c r="C31">
        <v>1975</v>
      </c>
    </row>
    <row r="32" spans="1:3" x14ac:dyDescent="0.25">
      <c r="A32">
        <v>80</v>
      </c>
      <c r="B32" t="s">
        <v>69</v>
      </c>
      <c r="C32">
        <v>1908</v>
      </c>
    </row>
    <row r="33" spans="1:3" x14ac:dyDescent="0.25">
      <c r="A33">
        <v>81</v>
      </c>
      <c r="B33" t="s">
        <v>70</v>
      </c>
      <c r="C33">
        <v>1921</v>
      </c>
    </row>
    <row r="34" spans="1:3" x14ac:dyDescent="0.25">
      <c r="A34">
        <v>82</v>
      </c>
      <c r="B34" t="s">
        <v>71</v>
      </c>
      <c r="C34">
        <v>1976</v>
      </c>
    </row>
    <row r="35" spans="1:3" x14ac:dyDescent="0.25">
      <c r="A35">
        <v>83</v>
      </c>
      <c r="B35" t="s">
        <v>72</v>
      </c>
      <c r="C35">
        <v>1978</v>
      </c>
    </row>
    <row r="36" spans="1:3" x14ac:dyDescent="0.25">
      <c r="A36">
        <v>84</v>
      </c>
      <c r="B36" t="s">
        <v>73</v>
      </c>
      <c r="C36">
        <v>1924</v>
      </c>
    </row>
    <row r="37" spans="1:3" x14ac:dyDescent="0.25">
      <c r="A37">
        <v>85</v>
      </c>
      <c r="B37" t="s">
        <v>74</v>
      </c>
      <c r="C37">
        <v>1940</v>
      </c>
    </row>
    <row r="38" spans="1:3" x14ac:dyDescent="0.25">
      <c r="A38">
        <v>86</v>
      </c>
      <c r="B38" t="s">
        <v>75</v>
      </c>
      <c r="C38">
        <v>1974</v>
      </c>
    </row>
    <row r="39" spans="1:3" x14ac:dyDescent="0.25">
      <c r="A39">
        <v>87</v>
      </c>
      <c r="B39" t="s">
        <v>76</v>
      </c>
      <c r="C39">
        <v>1979</v>
      </c>
    </row>
    <row r="40" spans="1:3" x14ac:dyDescent="0.25">
      <c r="A40">
        <v>88</v>
      </c>
      <c r="B40" t="s">
        <v>77</v>
      </c>
      <c r="C40">
        <v>1952</v>
      </c>
    </row>
    <row r="41" spans="1:3" x14ac:dyDescent="0.25">
      <c r="A41">
        <v>89</v>
      </c>
      <c r="B41" t="s">
        <v>78</v>
      </c>
      <c r="C41">
        <v>1943</v>
      </c>
    </row>
    <row r="42" spans="1:3" x14ac:dyDescent="0.25">
      <c r="A42">
        <v>90</v>
      </c>
      <c r="B42" t="s">
        <v>79</v>
      </c>
      <c r="C42">
        <v>1947</v>
      </c>
    </row>
    <row r="43" spans="1:3" x14ac:dyDescent="0.25">
      <c r="A43">
        <v>91</v>
      </c>
      <c r="B43" t="s">
        <v>80</v>
      </c>
      <c r="C43">
        <v>1967</v>
      </c>
    </row>
    <row r="44" spans="1:3" x14ac:dyDescent="0.25">
      <c r="A44">
        <v>92</v>
      </c>
      <c r="B44" t="s">
        <v>81</v>
      </c>
      <c r="C44">
        <v>1967</v>
      </c>
    </row>
    <row r="45" spans="1:3" x14ac:dyDescent="0.25">
      <c r="A45">
        <v>93</v>
      </c>
      <c r="B45" t="s">
        <v>82</v>
      </c>
      <c r="C45">
        <v>1975</v>
      </c>
    </row>
    <row r="46" spans="1:3" x14ac:dyDescent="0.25">
      <c r="A46">
        <v>94</v>
      </c>
      <c r="B46" t="s">
        <v>83</v>
      </c>
      <c r="C46">
        <v>1965</v>
      </c>
    </row>
    <row r="47" spans="1:3" x14ac:dyDescent="0.25">
      <c r="A47">
        <v>95</v>
      </c>
      <c r="B47" t="s">
        <v>84</v>
      </c>
      <c r="C47">
        <v>1981</v>
      </c>
    </row>
    <row r="48" spans="1:3" x14ac:dyDescent="0.25">
      <c r="A48">
        <v>150</v>
      </c>
      <c r="B48" t="s">
        <v>85</v>
      </c>
      <c r="C48">
        <v>1905</v>
      </c>
    </row>
    <row r="49" spans="1:3" x14ac:dyDescent="0.25">
      <c r="A49">
        <v>151</v>
      </c>
      <c r="B49" t="s">
        <v>86</v>
      </c>
      <c r="C49">
        <v>1919</v>
      </c>
    </row>
    <row r="50" spans="1:3" x14ac:dyDescent="0.25">
      <c r="A50">
        <v>152</v>
      </c>
      <c r="B50" t="s">
        <v>87</v>
      </c>
      <c r="C50">
        <v>1997</v>
      </c>
    </row>
    <row r="51" spans="1:3" x14ac:dyDescent="0.25">
      <c r="A51">
        <v>153</v>
      </c>
      <c r="B51" t="s">
        <v>88</v>
      </c>
      <c r="C51">
        <v>1929</v>
      </c>
    </row>
    <row r="52" spans="1:3" x14ac:dyDescent="0.25">
      <c r="A52">
        <v>154</v>
      </c>
      <c r="B52" t="s">
        <v>89</v>
      </c>
      <c r="C52">
        <v>1988</v>
      </c>
    </row>
    <row r="53" spans="1:3" x14ac:dyDescent="0.25">
      <c r="A53">
        <v>155</v>
      </c>
      <c r="B53" t="s">
        <v>90</v>
      </c>
      <c r="C53">
        <v>1982</v>
      </c>
    </row>
    <row r="54" spans="1:3" x14ac:dyDescent="0.25">
      <c r="A54">
        <v>156</v>
      </c>
      <c r="B54" t="s">
        <v>91</v>
      </c>
      <c r="C54">
        <v>1982</v>
      </c>
    </row>
    <row r="55" spans="1:3" x14ac:dyDescent="0.25">
      <c r="A55">
        <v>157</v>
      </c>
      <c r="B55" t="s">
        <v>92</v>
      </c>
      <c r="C55">
        <v>1982</v>
      </c>
    </row>
    <row r="56" spans="1:3" x14ac:dyDescent="0.25">
      <c r="A56">
        <v>158</v>
      </c>
      <c r="B56" t="s">
        <v>93</v>
      </c>
      <c r="C56">
        <v>1983</v>
      </c>
    </row>
    <row r="57" spans="1:3" x14ac:dyDescent="0.25">
      <c r="A57">
        <v>159</v>
      </c>
      <c r="B57" t="s">
        <v>94</v>
      </c>
      <c r="C57">
        <v>1985</v>
      </c>
    </row>
    <row r="58" spans="1:3" x14ac:dyDescent="0.25">
      <c r="A58">
        <v>160</v>
      </c>
      <c r="B58" t="s">
        <v>95</v>
      </c>
      <c r="C58">
        <v>1979</v>
      </c>
    </row>
    <row r="59" spans="1:3" x14ac:dyDescent="0.25">
      <c r="A59">
        <v>161</v>
      </c>
      <c r="B59" t="s">
        <v>96</v>
      </c>
      <c r="C59">
        <v>1984</v>
      </c>
    </row>
    <row r="60" spans="1:3" x14ac:dyDescent="0.25">
      <c r="A60">
        <v>162</v>
      </c>
      <c r="B60" t="s">
        <v>97</v>
      </c>
      <c r="C60">
        <v>1950</v>
      </c>
    </row>
    <row r="61" spans="1:3" x14ac:dyDescent="0.25">
      <c r="A61">
        <v>163</v>
      </c>
      <c r="B61" t="s">
        <v>98</v>
      </c>
      <c r="C61">
        <v>1955</v>
      </c>
    </row>
    <row r="62" spans="1:3" x14ac:dyDescent="0.25">
      <c r="A62">
        <v>164</v>
      </c>
      <c r="B62" t="s">
        <v>99</v>
      </c>
      <c r="C62">
        <v>1965</v>
      </c>
    </row>
    <row r="63" spans="1:3" x14ac:dyDescent="0.25">
      <c r="A63">
        <v>165</v>
      </c>
      <c r="B63" t="s">
        <v>100</v>
      </c>
      <c r="C63">
        <v>1967</v>
      </c>
    </row>
    <row r="64" spans="1:3" x14ac:dyDescent="0.25">
      <c r="A64">
        <v>166</v>
      </c>
      <c r="B64" t="s">
        <v>101</v>
      </c>
      <c r="C64">
        <v>1946</v>
      </c>
    </row>
    <row r="65" spans="1:3" x14ac:dyDescent="0.25">
      <c r="A65">
        <v>167</v>
      </c>
      <c r="B65" t="s">
        <v>102</v>
      </c>
      <c r="C65">
        <v>1982</v>
      </c>
    </row>
    <row r="66" spans="1:3" x14ac:dyDescent="0.25">
      <c r="A66">
        <v>168</v>
      </c>
      <c r="B66" t="s">
        <v>103</v>
      </c>
      <c r="C66">
        <v>1956</v>
      </c>
    </row>
    <row r="67" spans="1:3" x14ac:dyDescent="0.25">
      <c r="A67">
        <v>169</v>
      </c>
      <c r="B67" t="s">
        <v>104</v>
      </c>
      <c r="C67">
        <v>1985</v>
      </c>
    </row>
    <row r="68" spans="1:3" x14ac:dyDescent="0.25">
      <c r="A68">
        <v>170</v>
      </c>
      <c r="B68" t="s">
        <v>105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7" sqref="D17"/>
    </sheetView>
  </sheetViews>
  <sheetFormatPr defaultRowHeight="15" x14ac:dyDescent="0.25"/>
  <cols>
    <col min="1" max="1" width="9.85546875" customWidth="1"/>
  </cols>
  <sheetData>
    <row r="1" spans="1:2" x14ac:dyDescent="0.25">
      <c r="A1" s="2" t="s">
        <v>0</v>
      </c>
      <c r="B1" s="2" t="s">
        <v>36</v>
      </c>
    </row>
    <row r="2" spans="1:2" x14ac:dyDescent="0.25">
      <c r="A2">
        <v>101</v>
      </c>
      <c r="B2">
        <v>50</v>
      </c>
    </row>
    <row r="3" spans="1:2" x14ac:dyDescent="0.25">
      <c r="A3">
        <v>101</v>
      </c>
      <c r="B3">
        <v>51</v>
      </c>
    </row>
    <row r="4" spans="1:2" x14ac:dyDescent="0.25">
      <c r="A4">
        <v>102</v>
      </c>
      <c r="B4">
        <v>52</v>
      </c>
    </row>
    <row r="5" spans="1:2" x14ac:dyDescent="0.25">
      <c r="A5">
        <v>102</v>
      </c>
      <c r="B5">
        <v>53</v>
      </c>
    </row>
    <row r="6" spans="1:2" x14ac:dyDescent="0.25">
      <c r="A6">
        <v>103</v>
      </c>
      <c r="B6">
        <v>54</v>
      </c>
    </row>
    <row r="7" spans="1:2" x14ac:dyDescent="0.25">
      <c r="A7">
        <v>103</v>
      </c>
      <c r="B7">
        <v>55</v>
      </c>
    </row>
    <row r="8" spans="1:2" x14ac:dyDescent="0.25">
      <c r="A8">
        <v>103</v>
      </c>
      <c r="B8">
        <v>56</v>
      </c>
    </row>
    <row r="9" spans="1:2" x14ac:dyDescent="0.25">
      <c r="A9">
        <v>104</v>
      </c>
      <c r="B9">
        <v>54</v>
      </c>
    </row>
    <row r="10" spans="1:2" x14ac:dyDescent="0.25">
      <c r="A10">
        <v>104</v>
      </c>
      <c r="B10">
        <v>56</v>
      </c>
    </row>
    <row r="11" spans="1:2" x14ac:dyDescent="0.25">
      <c r="A11">
        <v>105</v>
      </c>
      <c r="B11">
        <v>54</v>
      </c>
    </row>
    <row r="12" spans="1:2" x14ac:dyDescent="0.25">
      <c r="A12">
        <v>105</v>
      </c>
      <c r="B12">
        <v>55</v>
      </c>
    </row>
    <row r="13" spans="1:2" x14ac:dyDescent="0.25">
      <c r="A13">
        <v>106</v>
      </c>
      <c r="B13">
        <v>57</v>
      </c>
    </row>
    <row r="14" spans="1:2" x14ac:dyDescent="0.25">
      <c r="A14">
        <v>106</v>
      </c>
      <c r="B14">
        <v>58</v>
      </c>
    </row>
    <row r="15" spans="1:2" x14ac:dyDescent="0.25">
      <c r="A15">
        <v>107</v>
      </c>
      <c r="B15">
        <v>59</v>
      </c>
    </row>
    <row r="16" spans="1:2" x14ac:dyDescent="0.25">
      <c r="A16">
        <v>107</v>
      </c>
      <c r="B16">
        <v>60</v>
      </c>
    </row>
    <row r="17" spans="1:2" x14ac:dyDescent="0.25">
      <c r="A17">
        <v>108</v>
      </c>
      <c r="B17">
        <v>61</v>
      </c>
    </row>
    <row r="18" spans="1:2" x14ac:dyDescent="0.25">
      <c r="A18">
        <v>108</v>
      </c>
      <c r="B18">
        <v>62</v>
      </c>
    </row>
    <row r="19" spans="1:2" x14ac:dyDescent="0.25">
      <c r="A19">
        <v>108</v>
      </c>
      <c r="B19">
        <v>63</v>
      </c>
    </row>
    <row r="20" spans="1:2" x14ac:dyDescent="0.25">
      <c r="A20">
        <v>109</v>
      </c>
      <c r="B20">
        <v>59</v>
      </c>
    </row>
    <row r="21" spans="1:2" x14ac:dyDescent="0.25">
      <c r="A21">
        <v>109</v>
      </c>
      <c r="B21">
        <v>57</v>
      </c>
    </row>
    <row r="22" spans="1:2" x14ac:dyDescent="0.25">
      <c r="A22">
        <v>109</v>
      </c>
      <c r="B22">
        <v>64</v>
      </c>
    </row>
    <row r="23" spans="1:2" x14ac:dyDescent="0.25">
      <c r="A23">
        <v>110</v>
      </c>
      <c r="B23">
        <v>65</v>
      </c>
    </row>
    <row r="24" spans="1:2" x14ac:dyDescent="0.25">
      <c r="A24">
        <v>110</v>
      </c>
      <c r="B24">
        <v>66</v>
      </c>
    </row>
    <row r="25" spans="1:2" x14ac:dyDescent="0.25">
      <c r="A25">
        <v>111</v>
      </c>
      <c r="B25">
        <v>67</v>
      </c>
    </row>
    <row r="26" spans="1:2" x14ac:dyDescent="0.25">
      <c r="A26">
        <v>111</v>
      </c>
      <c r="B26">
        <v>68</v>
      </c>
    </row>
    <row r="27" spans="1:2" x14ac:dyDescent="0.25">
      <c r="A27">
        <v>112</v>
      </c>
      <c r="B27">
        <v>69</v>
      </c>
    </row>
    <row r="28" spans="1:2" x14ac:dyDescent="0.25">
      <c r="A28">
        <v>112</v>
      </c>
      <c r="B28">
        <v>70</v>
      </c>
    </row>
    <row r="29" spans="1:2" x14ac:dyDescent="0.25">
      <c r="A29">
        <v>113</v>
      </c>
      <c r="B29">
        <v>71</v>
      </c>
    </row>
    <row r="30" spans="1:2" x14ac:dyDescent="0.25">
      <c r="A30">
        <v>113</v>
      </c>
      <c r="B30">
        <v>72</v>
      </c>
    </row>
    <row r="31" spans="1:2" x14ac:dyDescent="0.25">
      <c r="A31">
        <v>114</v>
      </c>
      <c r="B31">
        <v>73</v>
      </c>
    </row>
    <row r="32" spans="1:2" x14ac:dyDescent="0.25">
      <c r="A32">
        <v>114</v>
      </c>
      <c r="B32">
        <v>74</v>
      </c>
    </row>
    <row r="33" spans="1:2" x14ac:dyDescent="0.25">
      <c r="A33">
        <v>115</v>
      </c>
      <c r="B33">
        <v>75</v>
      </c>
    </row>
    <row r="34" spans="1:2" x14ac:dyDescent="0.25">
      <c r="A34">
        <v>115</v>
      </c>
      <c r="B34">
        <v>76</v>
      </c>
    </row>
    <row r="35" spans="1:2" x14ac:dyDescent="0.25">
      <c r="A35">
        <v>116</v>
      </c>
      <c r="B35">
        <v>77</v>
      </c>
    </row>
    <row r="36" spans="1:2" x14ac:dyDescent="0.25">
      <c r="A36">
        <v>116</v>
      </c>
      <c r="B36">
        <v>78</v>
      </c>
    </row>
    <row r="37" spans="1:2" x14ac:dyDescent="0.25">
      <c r="A37">
        <v>117</v>
      </c>
      <c r="B37">
        <v>69</v>
      </c>
    </row>
    <row r="38" spans="1:2" x14ac:dyDescent="0.25">
      <c r="A38">
        <v>117</v>
      </c>
      <c r="B38">
        <v>79</v>
      </c>
    </row>
    <row r="39" spans="1:2" x14ac:dyDescent="0.25">
      <c r="A39">
        <v>118</v>
      </c>
      <c r="B39">
        <v>80</v>
      </c>
    </row>
    <row r="40" spans="1:2" x14ac:dyDescent="0.25">
      <c r="A40">
        <v>118</v>
      </c>
      <c r="B40">
        <v>81</v>
      </c>
    </row>
    <row r="41" spans="1:2" x14ac:dyDescent="0.25">
      <c r="A41">
        <v>119</v>
      </c>
      <c r="B41">
        <v>82</v>
      </c>
    </row>
    <row r="42" spans="1:2" x14ac:dyDescent="0.25">
      <c r="A42">
        <v>119</v>
      </c>
      <c r="B42">
        <v>83</v>
      </c>
    </row>
    <row r="43" spans="1:2" x14ac:dyDescent="0.25">
      <c r="A43">
        <v>120</v>
      </c>
      <c r="B43">
        <v>84</v>
      </c>
    </row>
    <row r="44" spans="1:2" x14ac:dyDescent="0.25">
      <c r="A44">
        <v>120</v>
      </c>
      <c r="B44">
        <v>85</v>
      </c>
    </row>
    <row r="45" spans="1:2" x14ac:dyDescent="0.25">
      <c r="A45">
        <v>121</v>
      </c>
      <c r="B45">
        <v>86</v>
      </c>
    </row>
    <row r="46" spans="1:2" x14ac:dyDescent="0.25">
      <c r="A46">
        <v>121</v>
      </c>
      <c r="B46">
        <v>87</v>
      </c>
    </row>
    <row r="47" spans="1:2" x14ac:dyDescent="0.25">
      <c r="A47">
        <v>122</v>
      </c>
      <c r="B47">
        <v>88</v>
      </c>
    </row>
    <row r="48" spans="1:2" x14ac:dyDescent="0.25">
      <c r="A48">
        <v>122</v>
      </c>
      <c r="B48">
        <v>89</v>
      </c>
    </row>
    <row r="49" spans="1:2" x14ac:dyDescent="0.25">
      <c r="A49">
        <v>123</v>
      </c>
      <c r="B49">
        <v>90</v>
      </c>
    </row>
    <row r="50" spans="1:2" x14ac:dyDescent="0.25">
      <c r="A50">
        <v>123</v>
      </c>
      <c r="B50">
        <v>91</v>
      </c>
    </row>
    <row r="51" spans="1:2" x14ac:dyDescent="0.25">
      <c r="A51">
        <v>124</v>
      </c>
      <c r="B51">
        <v>92</v>
      </c>
    </row>
    <row r="52" spans="1:2" x14ac:dyDescent="0.25">
      <c r="A52">
        <v>124</v>
      </c>
      <c r="B52">
        <v>93</v>
      </c>
    </row>
    <row r="53" spans="1:2" x14ac:dyDescent="0.25">
      <c r="A53">
        <v>125</v>
      </c>
      <c r="B53">
        <v>94</v>
      </c>
    </row>
    <row r="54" spans="1:2" x14ac:dyDescent="0.25">
      <c r="A54">
        <v>125</v>
      </c>
      <c r="B54">
        <v>95</v>
      </c>
    </row>
    <row r="55" spans="1:2" x14ac:dyDescent="0.25">
      <c r="A55">
        <v>125</v>
      </c>
      <c r="B55">
        <v>54</v>
      </c>
    </row>
    <row r="56" spans="1:2" x14ac:dyDescent="0.25">
      <c r="A56">
        <v>126</v>
      </c>
      <c r="B56">
        <v>94</v>
      </c>
    </row>
    <row r="57" spans="1:2" x14ac:dyDescent="0.25">
      <c r="A57">
        <v>126</v>
      </c>
      <c r="B57">
        <v>95</v>
      </c>
    </row>
    <row r="58" spans="1:2" x14ac:dyDescent="0.25">
      <c r="A58">
        <v>126</v>
      </c>
      <c r="B58">
        <v>54</v>
      </c>
    </row>
    <row r="59" spans="1:2" x14ac:dyDescent="0.25">
      <c r="A59">
        <v>127</v>
      </c>
      <c r="B59">
        <v>150</v>
      </c>
    </row>
    <row r="60" spans="1:2" x14ac:dyDescent="0.25">
      <c r="A60">
        <v>127</v>
      </c>
      <c r="B60">
        <v>151</v>
      </c>
    </row>
    <row r="61" spans="1:2" x14ac:dyDescent="0.25">
      <c r="A61">
        <v>128</v>
      </c>
      <c r="B61">
        <v>61</v>
      </c>
    </row>
    <row r="62" spans="1:2" x14ac:dyDescent="0.25">
      <c r="A62">
        <v>128</v>
      </c>
      <c r="B62">
        <v>152</v>
      </c>
    </row>
    <row r="63" spans="1:2" x14ac:dyDescent="0.25">
      <c r="A63">
        <v>129</v>
      </c>
      <c r="B63">
        <v>51</v>
      </c>
    </row>
    <row r="64" spans="1:2" x14ac:dyDescent="0.25">
      <c r="A64">
        <v>129</v>
      </c>
      <c r="B64">
        <v>153</v>
      </c>
    </row>
    <row r="65" spans="1:2" x14ac:dyDescent="0.25">
      <c r="A65">
        <v>130</v>
      </c>
      <c r="B65">
        <v>61</v>
      </c>
    </row>
    <row r="66" spans="1:2" x14ac:dyDescent="0.25">
      <c r="A66">
        <v>130</v>
      </c>
      <c r="B66">
        <v>154</v>
      </c>
    </row>
    <row r="67" spans="1:2" x14ac:dyDescent="0.25">
      <c r="A67">
        <v>131</v>
      </c>
      <c r="B67">
        <v>155</v>
      </c>
    </row>
    <row r="68" spans="1:2" x14ac:dyDescent="0.25">
      <c r="A68">
        <v>131</v>
      </c>
      <c r="B68">
        <v>154</v>
      </c>
    </row>
    <row r="69" spans="1:2" x14ac:dyDescent="0.25">
      <c r="A69">
        <v>132</v>
      </c>
      <c r="B69">
        <v>156</v>
      </c>
    </row>
    <row r="70" spans="1:2" x14ac:dyDescent="0.25">
      <c r="A70">
        <v>132</v>
      </c>
      <c r="B70">
        <v>157</v>
      </c>
    </row>
    <row r="71" spans="1:2" x14ac:dyDescent="0.25">
      <c r="A71">
        <v>133</v>
      </c>
      <c r="B71">
        <v>158</v>
      </c>
    </row>
    <row r="72" spans="1:2" x14ac:dyDescent="0.25">
      <c r="A72">
        <v>133</v>
      </c>
      <c r="B72">
        <v>159</v>
      </c>
    </row>
    <row r="73" spans="1:2" x14ac:dyDescent="0.25">
      <c r="A73">
        <v>134</v>
      </c>
      <c r="B73">
        <v>160</v>
      </c>
    </row>
    <row r="74" spans="1:2" x14ac:dyDescent="0.25">
      <c r="A74">
        <v>134</v>
      </c>
      <c r="B74">
        <v>161</v>
      </c>
    </row>
    <row r="75" spans="1:2" x14ac:dyDescent="0.25">
      <c r="A75">
        <v>135</v>
      </c>
      <c r="B75">
        <v>162</v>
      </c>
    </row>
    <row r="76" spans="1:2" x14ac:dyDescent="0.25">
      <c r="A76">
        <v>135</v>
      </c>
      <c r="B76">
        <v>163</v>
      </c>
    </row>
    <row r="77" spans="1:2" x14ac:dyDescent="0.25">
      <c r="A77">
        <v>136</v>
      </c>
      <c r="B77">
        <v>164</v>
      </c>
    </row>
    <row r="78" spans="1:2" x14ac:dyDescent="0.25">
      <c r="A78">
        <v>136</v>
      </c>
      <c r="B78">
        <v>165</v>
      </c>
    </row>
    <row r="79" spans="1:2" x14ac:dyDescent="0.25">
      <c r="A79">
        <v>137</v>
      </c>
      <c r="B79">
        <v>95</v>
      </c>
    </row>
    <row r="80" spans="1:2" x14ac:dyDescent="0.25">
      <c r="A80">
        <v>137</v>
      </c>
      <c r="B80">
        <v>166</v>
      </c>
    </row>
    <row r="81" spans="1:2" x14ac:dyDescent="0.25">
      <c r="A81">
        <v>138</v>
      </c>
      <c r="B81">
        <v>95</v>
      </c>
    </row>
    <row r="82" spans="1:2" x14ac:dyDescent="0.25">
      <c r="A82">
        <v>138</v>
      </c>
      <c r="B82">
        <v>167</v>
      </c>
    </row>
    <row r="83" spans="1:2" x14ac:dyDescent="0.25">
      <c r="A83">
        <v>139</v>
      </c>
      <c r="B83">
        <v>164</v>
      </c>
    </row>
    <row r="84" spans="1:2" x14ac:dyDescent="0.25">
      <c r="A84">
        <v>139</v>
      </c>
      <c r="B84">
        <v>168</v>
      </c>
    </row>
    <row r="85" spans="1:2" x14ac:dyDescent="0.25">
      <c r="A85">
        <v>140</v>
      </c>
      <c r="B85">
        <v>169</v>
      </c>
    </row>
    <row r="86" spans="1:2" x14ac:dyDescent="0.2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5" x14ac:dyDescent="0.25"/>
  <cols>
    <col min="1" max="1" width="12.42578125" customWidth="1"/>
  </cols>
  <sheetData>
    <row r="1" spans="1:2" x14ac:dyDescent="0.25">
      <c r="A1" s="2" t="s">
        <v>5</v>
      </c>
      <c r="B1" s="2" t="s">
        <v>37</v>
      </c>
    </row>
    <row r="2" spans="1:2" x14ac:dyDescent="0.25">
      <c r="A2">
        <v>1</v>
      </c>
      <c r="B2" t="s">
        <v>106</v>
      </c>
    </row>
    <row r="3" spans="1:2" x14ac:dyDescent="0.25">
      <c r="A3">
        <v>2</v>
      </c>
      <c r="B3" t="s">
        <v>107</v>
      </c>
    </row>
    <row r="4" spans="1:2" x14ac:dyDescent="0.25">
      <c r="A4">
        <v>3</v>
      </c>
      <c r="B4" t="s">
        <v>108</v>
      </c>
    </row>
    <row r="5" spans="1:2" x14ac:dyDescent="0.25">
      <c r="A5">
        <v>4</v>
      </c>
      <c r="B5" t="s">
        <v>109</v>
      </c>
    </row>
    <row r="6" spans="1:2" x14ac:dyDescent="0.25">
      <c r="A6">
        <v>5</v>
      </c>
      <c r="B6" t="s">
        <v>110</v>
      </c>
    </row>
    <row r="7" spans="1:2" x14ac:dyDescent="0.25">
      <c r="A7">
        <v>6</v>
      </c>
      <c r="B7" t="s">
        <v>111</v>
      </c>
    </row>
    <row r="8" spans="1:2" x14ac:dyDescent="0.25">
      <c r="A8">
        <v>7</v>
      </c>
      <c r="B8" t="s">
        <v>112</v>
      </c>
    </row>
    <row r="9" spans="1:2" x14ac:dyDescent="0.25">
      <c r="A9">
        <v>8</v>
      </c>
      <c r="B9" t="s">
        <v>113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CCDB29F1-9DF0-4C48-8616-963A6DD13076}">
  <ds:schemaRefs/>
</ds:datastoreItem>
</file>

<file path=customXml/itemProps2.xml><?xml version="1.0" encoding="utf-8"?>
<ds:datastoreItem xmlns:ds="http://schemas.openxmlformats.org/officeDocument/2006/customXml" ds:itemID="{3DCBE858-45D0-4DF6-9D13-6A3563DCD524}">
  <ds:schemaRefs/>
</ds:datastoreItem>
</file>

<file path=customXml/itemProps3.xml><?xml version="1.0" encoding="utf-8"?>
<ds:datastoreItem xmlns:ds="http://schemas.openxmlformats.org/officeDocument/2006/customXml" ds:itemID="{B62B0E31-6700-4660-B4B0-961057DB80F6}">
  <ds:schemaRefs/>
</ds:datastoreItem>
</file>

<file path=customXml/itemProps4.xml><?xml version="1.0" encoding="utf-8"?>
<ds:datastoreItem xmlns:ds="http://schemas.openxmlformats.org/officeDocument/2006/customXml" ds:itemID="{EEFF9027-FBEF-4910-8EE6-13D64012C7E9}">
  <ds:schemaRefs>
    <ds:schemaRef ds:uri="631564f6-0349-4cc5-b00d-7cf3ba42f824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46297aa2-77d1-4586-9726-07d56a535ee7"/>
  </ds:schemaRefs>
</ds:datastoreItem>
</file>

<file path=customXml/itemProps5.xml><?xml version="1.0" encoding="utf-8"?>
<ds:datastoreItem xmlns:ds="http://schemas.openxmlformats.org/officeDocument/2006/customXml" ds:itemID="{88706A98-89C7-41AE-AF4A-4ECCF3B19616}">
  <ds:schemaRefs/>
</ds:datastoreItem>
</file>

<file path=customXml/itemProps6.xml><?xml version="1.0" encoding="utf-8"?>
<ds:datastoreItem xmlns:ds="http://schemas.openxmlformats.org/officeDocument/2006/customXml" ds:itemID="{5A3729C4-5EBD-4884-A408-8A1F4C49D284}">
  <ds:schemaRefs/>
</ds:datastoreItem>
</file>

<file path=customXml/itemProps7.xml><?xml version="1.0" encoding="utf-8"?>
<ds:datastoreItem xmlns:ds="http://schemas.openxmlformats.org/officeDocument/2006/customXml" ds:itemID="{A3BA75EF-88AF-47FB-8B30-90F04188D445}">
  <ds:schemaRefs/>
</ds:datastoreItem>
</file>

<file path=customXml/itemProps8.xml><?xml version="1.0" encoding="utf-8"?>
<ds:datastoreItem xmlns:ds="http://schemas.openxmlformats.org/officeDocument/2006/customXml" ds:itemID="{CB056338-596F-47B7-B8BE-A4816C7CC8EF}">
  <ds:schemaRefs/>
</ds:datastoreItem>
</file>

<file path=customXml/itemProps9.xml><?xml version="1.0" encoding="utf-8"?>
<ds:datastoreItem xmlns:ds="http://schemas.openxmlformats.org/officeDocument/2006/customXml" ds:itemID="{F247F542-F012-4876-A332-FCB5DCB799BB}">
  <ds:schemaRefs/>
</ds:datastoreItem>
</file>

<file path=customXml/itemProps10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9D0EEA17-89B1-4C37-8ED9-4B30F5E05CAB}">
  <ds:schemaRefs/>
</ds:datastoreItem>
</file>

<file path=customXml/itemProps12.xml><?xml version="1.0" encoding="utf-8"?>
<ds:datastoreItem xmlns:ds="http://schemas.openxmlformats.org/officeDocument/2006/customXml" ds:itemID="{D656C30E-1371-4267-A692-DA8FAB8C43E6}">
  <ds:schemaRefs/>
</ds:datastoreItem>
</file>

<file path=customXml/itemProps13.xml><?xml version="1.0" encoding="utf-8"?>
<ds:datastoreItem xmlns:ds="http://schemas.openxmlformats.org/officeDocument/2006/customXml" ds:itemID="{C36F45A6-695D-47BF-AFCD-F616444D76D6}">
  <ds:schemaRefs/>
</ds:datastoreItem>
</file>

<file path=customXml/itemProps14.xml><?xml version="1.0" encoding="utf-8"?>
<ds:datastoreItem xmlns:ds="http://schemas.openxmlformats.org/officeDocument/2006/customXml" ds:itemID="{B0F8329E-42C2-4C68-9938-1C8B04524F51}">
  <ds:schemaRefs/>
</ds:datastoreItem>
</file>

<file path=customXml/itemProps15.xml><?xml version="1.0" encoding="utf-8"?>
<ds:datastoreItem xmlns:ds="http://schemas.openxmlformats.org/officeDocument/2006/customXml" ds:itemID="{5A21D4E6-D35B-4968-A863-B6D725BBBED9}">
  <ds:schemaRefs/>
</ds:datastoreItem>
</file>

<file path=customXml/itemProps16.xml><?xml version="1.0" encoding="utf-8"?>
<ds:datastoreItem xmlns:ds="http://schemas.openxmlformats.org/officeDocument/2006/customXml" ds:itemID="{53049806-6320-453A-96B6-3005C87025CC}">
  <ds:schemaRefs/>
</ds:datastoreItem>
</file>

<file path=customXml/itemProps17.xml><?xml version="1.0" encoding="utf-8"?>
<ds:datastoreItem xmlns:ds="http://schemas.openxmlformats.org/officeDocument/2006/customXml" ds:itemID="{6226806E-94D8-4DBB-BBAE-3DA11D112957}">
  <ds:schemaRefs/>
</ds:datastoreItem>
</file>

<file path=customXml/itemProps18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9.xml><?xml version="1.0" encoding="utf-8"?>
<ds:datastoreItem xmlns:ds="http://schemas.openxmlformats.org/officeDocument/2006/customXml" ds:itemID="{3156A7C0-E74B-415B-A674-7DC4C8DF6D45}">
  <ds:schemaRefs/>
</ds:datastoreItem>
</file>

<file path=customXml/itemProps20.xml><?xml version="1.0" encoding="utf-8"?>
<ds:datastoreItem xmlns:ds="http://schemas.openxmlformats.org/officeDocument/2006/customXml" ds:itemID="{082F0903-0B88-4E92-9FFD-A3AAB8FDD09C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535404E8-41A7-4C66-94E3-3D3A25FF937D}">
  <ds:schemaRefs/>
</ds:datastoreItem>
</file>

<file path=customXml/itemProps22.xml><?xml version="1.0" encoding="utf-8"?>
<ds:datastoreItem xmlns:ds="http://schemas.openxmlformats.org/officeDocument/2006/customXml" ds:itemID="{C901D02B-5DCF-4BA8-8683-A2A66E908A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studios  P&amp;L</vt:lpstr>
      <vt:lpstr>MovieFinancials</vt:lpstr>
      <vt:lpstr>target</vt:lpstr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Athira VV</cp:lastModifiedBy>
  <cp:lastPrinted>2026-06-06T08:03:09Z</cp:lastPrinted>
  <dcterms:created xsi:type="dcterms:W3CDTF">2015-06-05T18:17:20Z</dcterms:created>
  <dcterms:modified xsi:type="dcterms:W3CDTF">2026-06-08T12:11:24Z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